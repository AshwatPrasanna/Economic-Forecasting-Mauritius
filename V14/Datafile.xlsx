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/V14/"/>
    </mc:Choice>
  </mc:AlternateContent>
  <xr:revisionPtr revIDLastSave="0" documentId="13_ncr:9_{B7A6C37E-D629-ED4C-9732-7C9098950A73}" xr6:coauthVersionLast="47" xr6:coauthVersionMax="47" xr10:uidLastSave="{00000000-0000-0000-0000-000000000000}"/>
  <bookViews>
    <workbookView xWindow="0" yWindow="740" windowWidth="30240" windowHeight="18900" xr2:uid="{5E340C1E-6273-4B00-8D34-478EF9F7B760}"/>
  </bookViews>
  <sheets>
    <sheet name="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15" i="3"/>
  <c r="W6" i="2"/>
  <c r="E5" i="3"/>
  <c r="C39" i="2" l="1" a="1"/>
  <c r="C39" i="2" s="1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9" i="2" a="1"/>
  <c r="B39" i="2" s="1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A6" i="2"/>
  <c r="Z6" i="2"/>
  <c r="Y6" i="2"/>
  <c r="X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<sst xmlns="http://schemas.openxmlformats.org/spreadsheetml/2006/main" count="170" uniqueCount="77">
  <si>
    <t>Year</t>
  </si>
  <si>
    <t>Gross Value Added by industry group at current basic prices</t>
  </si>
  <si>
    <t>Unit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</si>
  <si>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</si>
  <si>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</si>
  <si>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</si>
  <si>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</si>
  <si>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</si>
  <si>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</si>
  <si>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</si>
  <si>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</si>
  <si>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</si>
  <si>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</si>
  <si>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</si>
  <si>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</si>
  <si>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</si>
  <si>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</si>
  <si>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</si>
  <si>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</si>
  <si>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Accommodation and food service activities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</si>
  <si>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</si>
  <si>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</si>
  <si>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</si>
  <si>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</si>
  <si>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</si>
  <si>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</si>
  <si>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</si>
  <si>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</si>
  <si>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</si>
  <si>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</si>
  <si>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</si>
  <si>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</si>
  <si>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</si>
  <si>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</si>
  <si>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Primary sector</t>
  </si>
  <si>
    <t xml:space="preserve">Secondary sector </t>
  </si>
  <si>
    <t>Tertiary sector</t>
  </si>
  <si>
    <t xml:space="preserve">  Agriculture, forestry and fishing</t>
  </si>
  <si>
    <t xml:space="preserve">  Mining and quarrying</t>
  </si>
  <si>
    <t xml:space="preserve">  Manufacturing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</si>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</sst>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0.0"/>
    <numFmt numFmtId="172" formatCode="_(* #,##0_);_(* \(#,##0\);_(* &quot;-&quot;??_);_(@_)"/>
  </numFmts>
  <fonts count="26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2"/>
      <name val="Aptos Narrow"/>
      <family val="2"/>
    </font>
    <font>
      <b/>
      <sz val="10"/>
      <name val="Roboto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i/>
      <sz val="10"/>
      <name val="Roboto"/>
    </font>
    <font>
      <b/>
      <sz val="11"/>
      <color rgb="FF000000"/>
      <name val="Aptos Narrow"/>
      <family val="2"/>
    </font>
    <font>
      <sz val="8"/>
      <name val="Aptos Narrow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BCE4F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7" fontId="4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" fontId="9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0" fontId="3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9" fillId="0" borderId="0"/>
    <xf numFmtId="0" fontId="7" fillId="0" borderId="0"/>
    <xf numFmtId="0" fontId="10" fillId="0" borderId="0"/>
    <xf numFmtId="0" fontId="12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8" fillId="0" borderId="0"/>
  </cellStyleXfs>
  <cellXfs count="65">
    <xf numFmtId="0" fontId="0" fillId="0" borderId="0" xfId="0"/>
    <xf numFmtId="3" fontId="0" fillId="0" borderId="0" xfId="0" applyNumberFormat="1"/>
    <xf numFmtId="0" fontId="18" fillId="0" borderId="1" xfId="0" applyFont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3" fontId="16" fillId="0" borderId="1" xfId="0" applyNumberFormat="1" applyFont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3" fontId="18" fillId="0" borderId="5" xfId="0" applyNumberFormat="1" applyFont="1" applyBorder="1" applyAlignment="1">
      <alignment horizontal="center" vertical="center" wrapText="1"/>
    </xf>
    <xf numFmtId="3" fontId="18" fillId="3" borderId="5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/>
    <xf numFmtId="3" fontId="23" fillId="0" borderId="0" xfId="0" applyNumberFormat="1" applyFont="1"/>
    <xf numFmtId="0" fontId="18" fillId="0" borderId="5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vertical="center" wrapText="1"/>
    </xf>
    <xf numFmtId="0" fontId="16" fillId="0" borderId="5" xfId="0" applyFont="1" applyBorder="1" applyAlignment="1">
      <alignment horizontal="left" vertical="center"/>
    </xf>
    <xf numFmtId="3" fontId="16" fillId="3" borderId="5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0" fontId="15" fillId="0" borderId="0" xfId="26" applyFont="1"/>
    <xf numFmtId="171" fontId="0" fillId="0" borderId="0" xfId="0" applyNumberFormat="1"/>
    <xf numFmtId="0" fontId="13" fillId="0" borderId="0" xfId="0" applyFont="1"/>
    <xf numFmtId="171" fontId="10" fillId="0" borderId="0" xfId="54" applyNumberFormat="1" applyFont="1" applyAlignment="1">
      <alignment horizontal="right"/>
    </xf>
    <xf numFmtId="0" fontId="5" fillId="0" borderId="0" xfId="0" applyFont="1"/>
    <xf numFmtId="1" fontId="0" fillId="0" borderId="0" xfId="0" quotePrefix="1" applyNumberFormat="1"/>
    <xf numFmtId="166" fontId="6" fillId="0" borderId="0" xfId="0" applyNumberFormat="1" applyFont="1"/>
    <xf numFmtId="171" fontId="21" fillId="0" borderId="0" xfId="27" applyNumberFormat="1" applyFont="1"/>
    <xf numFmtId="0" fontId="17" fillId="0" borderId="0" xfId="0" applyFont="1" applyAlignment="1">
      <alignment vertical="top" wrapText="1"/>
    </xf>
    <xf numFmtId="3" fontId="17" fillId="0" borderId="0" xfId="0" applyNumberFormat="1" applyFont="1" applyAlignment="1">
      <alignment vertical="top" wrapText="1"/>
    </xf>
    <xf numFmtId="3" fontId="17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14" fillId="0" borderId="0" xfId="0" applyFont="1"/>
    <xf numFmtId="2" fontId="14" fillId="0" borderId="0" xfId="0" applyNumberFormat="1" applyFont="1"/>
    <xf numFmtId="0" fontId="0" fillId="0" borderId="0" xfId="0" applyAlignment="1">
      <alignment wrapText="1"/>
    </xf>
    <xf numFmtId="3" fontId="2" fillId="0" borderId="0" xfId="0" applyNumberFormat="1" applyFont="1"/>
    <xf numFmtId="172" fontId="0" fillId="0" borderId="0" xfId="1" applyNumberFormat="1" applyFont="1" applyFill="1" applyBorder="1" applyAlignment="1">
      <alignment horizontal="center"/>
    </xf>
    <xf numFmtId="3" fontId="4" fillId="0" borderId="0" xfId="0" applyNumberFormat="1" applyFont="1"/>
    <xf numFmtId="2" fontId="13" fillId="0" borderId="0" xfId="0" applyNumberFormat="1" applyFont="1"/>
    <xf numFmtId="2" fontId="0" fillId="0" borderId="0" xfId="1" applyNumberFormat="1" applyFont="1" applyFill="1" applyBorder="1"/>
    <xf numFmtId="2" fontId="1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2" fontId="15" fillId="0" borderId="0" xfId="26" applyNumberFormat="1" applyFont="1"/>
    <xf numFmtId="2" fontId="5" fillId="0" borderId="0" xfId="0" applyNumberFormat="1" applyFont="1"/>
    <xf numFmtId="2" fontId="6" fillId="0" borderId="0" xfId="0" applyNumberFormat="1" applyFont="1"/>
    <xf numFmtId="2" fontId="21" fillId="0" borderId="0" xfId="27" applyNumberFormat="1" applyFont="1"/>
    <xf numFmtId="2" fontId="0" fillId="0" borderId="0" xfId="0" applyNumberFormat="1" applyAlignment="1">
      <alignment horizontal="right"/>
    </xf>
    <xf numFmtId="0" fontId="0" fillId="0" borderId="0" xfId="0" quotePrefix="1" applyNumberFormat="1"/>
    <xf numFmtId="2" fontId="25" fillId="0" borderId="0" xfId="0" applyNumberFormat="1" applyFont="1"/>
  </cellXfs>
  <cellStyles count="55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  <cellStyle name="Normal_01TAB4Q1" xfId="54" xr:uid="{42062E73-0D53-4C45-B2E1-8D48781A51CF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AL43"/>
  <sheetViews>
    <sheetView tabSelected="1" zoomScale="75" zoomScaleNormal="80" workbookViewId="0">
      <pane xSplit="1" topLeftCell="B1" activePane="topRight" state="frozen"/>
      <selection activeCell="A9" sqref="A9"/>
      <selection pane="topRight" activeCell="H7" sqref="H7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17.83203125" customWidth="1"/>
    <col min="5" max="5" width="33.83203125" customWidth="1"/>
    <col min="6" max="6" width="21.33203125" customWidth="1"/>
    <col min="7" max="7" width="16.5" customWidth="1"/>
    <col min="8" max="8" width="32.6640625" customWidth="1"/>
    <col min="9" max="15" width="16.5" customWidth="1"/>
    <col min="16" max="16" width="24" customWidth="1"/>
    <col min="17" max="17" width="16.5" customWidth="1"/>
    <col min="18" max="18" width="21.5" customWidth="1"/>
    <col min="19" max="21" width="16.5" customWidth="1"/>
    <col min="22" max="22" width="24.5" customWidth="1"/>
    <col min="23" max="23" width="29.1640625" customWidth="1"/>
    <col min="24" max="29" width="16.5" customWidth="1"/>
    <col min="30" max="30" width="13.33203125" customWidth="1"/>
    <col min="31" max="31" width="22.5" customWidth="1"/>
    <col min="32" max="33" width="16.5" customWidth="1"/>
    <col min="34" max="34" width="18.5" customWidth="1"/>
    <col min="35" max="35" width="16.5" customWidth="1"/>
    <col min="36" max="36" width="25.5" customWidth="1"/>
    <col min="37" max="37" width="20.33203125" customWidth="1"/>
    <col min="38" max="38" width="22.83203125" bestFit="1" customWidth="1"/>
  </cols>
  <sheetData>
    <row r="1" spans="1:38" ht="16">
      <c r="A1" s="31" t="s">
        <v>0</v>
      </c>
      <c r="B1" s="32" t="s">
        <v>40</v>
      </c>
      <c r="C1" s="32" t="s">
        <v>41</v>
      </c>
      <c r="D1" s="32" t="s">
        <v>42</v>
      </c>
      <c r="E1" s="32" t="s">
        <v>43</v>
      </c>
      <c r="F1" s="32" t="s">
        <v>44</v>
      </c>
      <c r="G1" s="32" t="s">
        <v>45</v>
      </c>
      <c r="H1" s="32" t="s">
        <v>46</v>
      </c>
      <c r="I1" s="32" t="s">
        <v>47</v>
      </c>
      <c r="J1" s="32" t="s">
        <v>48</v>
      </c>
      <c r="K1" s="32" t="s">
        <v>49</v>
      </c>
      <c r="L1" s="32" t="s">
        <v>50</v>
      </c>
      <c r="M1" s="32" t="s">
        <v>51</v>
      </c>
      <c r="N1" s="32" t="s">
        <v>52</v>
      </c>
      <c r="O1" s="32" t="s">
        <v>53</v>
      </c>
      <c r="P1" s="32" t="s">
        <v>54</v>
      </c>
      <c r="Q1" s="32" t="s">
        <v>55</v>
      </c>
      <c r="R1" s="32" t="s">
        <v>56</v>
      </c>
      <c r="S1" s="32" t="s">
        <v>57</v>
      </c>
      <c r="T1" s="32" t="s">
        <v>58</v>
      </c>
      <c r="U1" s="32" t="s">
        <v>59</v>
      </c>
      <c r="V1" s="32" t="s">
        <v>60</v>
      </c>
      <c r="W1" s="32" t="s">
        <v>61</v>
      </c>
      <c r="X1" s="32" t="s">
        <v>62</v>
      </c>
      <c r="Y1" s="32" t="s">
        <v>63</v>
      </c>
      <c r="Z1" s="32" t="s">
        <v>64</v>
      </c>
      <c r="AA1" s="32" t="s">
        <v>65</v>
      </c>
      <c r="AB1" s="32" t="s">
        <v>66</v>
      </c>
      <c r="AC1" s="32" t="s">
        <v>67</v>
      </c>
      <c r="AD1" s="32" t="s">
        <v>68</v>
      </c>
      <c r="AE1" s="32" t="s">
        <v>69</v>
      </c>
      <c r="AF1" s="32" t="s">
        <v>70</v>
      </c>
      <c r="AG1" s="32" t="s">
        <v>71</v>
      </c>
      <c r="AH1" s="32" t="s">
        <v>72</v>
      </c>
      <c r="AI1" s="32" t="s">
        <v>73</v>
      </c>
      <c r="AJ1" s="32" t="s">
        <v>74</v>
      </c>
      <c r="AK1" s="32" t="s">
        <v>75</v>
      </c>
      <c r="AL1" s="32" t="s">
        <v>76</v>
      </c>
    </row>
    <row r="2" spans="1:38" ht="16">
      <c r="A2" s="33">
        <v>2004</v>
      </c>
      <c r="B2" s="54">
        <v>4.3</v>
      </c>
      <c r="C2" s="55">
        <v>180908000000</v>
      </c>
      <c r="D2" s="56">
        <v>536500</v>
      </c>
      <c r="E2" s="33">
        <v>38626000000</v>
      </c>
      <c r="F2" s="33">
        <v>54905000000</v>
      </c>
      <c r="G2" s="33">
        <v>76387000000</v>
      </c>
      <c r="H2" s="57">
        <v>177761000000</v>
      </c>
      <c r="I2" s="33">
        <v>43700</v>
      </c>
      <c r="J2" s="33">
        <v>519000</v>
      </c>
      <c r="K2" s="33">
        <v>17500</v>
      </c>
      <c r="L2" s="33">
        <v>4.7</v>
      </c>
      <c r="M2" s="33">
        <v>1796000000</v>
      </c>
      <c r="N2" s="33">
        <v>718861</v>
      </c>
      <c r="O2" s="33">
        <v>23448000000</v>
      </c>
      <c r="P2" s="33">
        <v>114383000000</v>
      </c>
      <c r="Q2" s="33">
        <v>25693000000</v>
      </c>
      <c r="R2" s="33">
        <v>144542600000</v>
      </c>
      <c r="S2" s="33">
        <v>73200000000</v>
      </c>
      <c r="T2" s="58">
        <v>80500</v>
      </c>
      <c r="U2" s="33">
        <v>19180000000</v>
      </c>
      <c r="V2" s="33">
        <v>75795000000</v>
      </c>
      <c r="W2" s="33">
        <v>120343000000</v>
      </c>
      <c r="X2" s="59">
        <v>4.7</v>
      </c>
      <c r="Y2" s="33">
        <v>20868555000</v>
      </c>
      <c r="Z2" s="33">
        <v>-8788299999.9999905</v>
      </c>
      <c r="AA2" s="33">
        <v>39271000000</v>
      </c>
      <c r="AB2" s="33">
        <v>0.62901445899999997</v>
      </c>
      <c r="AC2" s="33">
        <v>0.85463414599999998</v>
      </c>
      <c r="AD2" s="60">
        <v>27.75</v>
      </c>
      <c r="AE2" s="61">
        <v>3.7497159090908783</v>
      </c>
      <c r="AF2" s="33">
        <v>4.729063</v>
      </c>
      <c r="AG2" s="33">
        <v>1059.6982555389382</v>
      </c>
      <c r="AH2" s="55">
        <v>12081000000</v>
      </c>
      <c r="AI2" s="55">
        <v>495000000</v>
      </c>
      <c r="AJ2" s="62">
        <v>37336400000</v>
      </c>
      <c r="AK2" s="33">
        <v>-5234400000.0000019</v>
      </c>
      <c r="AL2" s="33">
        <v>6.9</v>
      </c>
    </row>
    <row r="3" spans="1:38" ht="16">
      <c r="A3" s="33">
        <v>2005</v>
      </c>
      <c r="B3" s="54">
        <v>2.7</v>
      </c>
      <c r="C3" s="55">
        <v>191393000000</v>
      </c>
      <c r="D3" s="56">
        <v>545200</v>
      </c>
      <c r="E3" s="33">
        <v>40626000000</v>
      </c>
      <c r="F3" s="33">
        <v>63219000000</v>
      </c>
      <c r="G3" s="33">
        <v>93282000000</v>
      </c>
      <c r="H3" s="57">
        <v>189440000000</v>
      </c>
      <c r="I3" s="33">
        <v>50500</v>
      </c>
      <c r="J3" s="33">
        <v>528600</v>
      </c>
      <c r="K3" s="33">
        <v>16600</v>
      </c>
      <c r="L3" s="33">
        <v>4.9000000000000004</v>
      </c>
      <c r="M3" s="33">
        <v>2807000000</v>
      </c>
      <c r="N3" s="33">
        <v>761063</v>
      </c>
      <c r="O3" s="33">
        <v>25704000000</v>
      </c>
      <c r="P3" s="33">
        <v>130161000000</v>
      </c>
      <c r="Q3" s="33">
        <v>27795000000</v>
      </c>
      <c r="R3" s="33">
        <v>155742400000</v>
      </c>
      <c r="S3" s="33">
        <v>129200000000</v>
      </c>
      <c r="T3" s="58">
        <v>82449</v>
      </c>
      <c r="U3" s="33">
        <v>19143000000</v>
      </c>
      <c r="V3" s="33">
        <v>76961000000</v>
      </c>
      <c r="W3" s="33">
        <v>132660000000</v>
      </c>
      <c r="X3" s="59">
        <v>4.9000000000000004</v>
      </c>
      <c r="Y3" s="33">
        <v>22845583400.000004</v>
      </c>
      <c r="Z3" s="33">
        <v>-9004900000</v>
      </c>
      <c r="AA3" s="33">
        <v>41111000000</v>
      </c>
      <c r="AB3" s="33">
        <v>0.67954167799999998</v>
      </c>
      <c r="AC3" s="33">
        <v>0.82179046</v>
      </c>
      <c r="AD3" s="60">
        <v>29.23</v>
      </c>
      <c r="AE3" s="61">
        <v>2.3055589246007369</v>
      </c>
      <c r="AF3" s="33">
        <v>5.0094019999999997</v>
      </c>
      <c r="AG3" s="33">
        <v>1591.1083292770368</v>
      </c>
      <c r="AH3" s="55">
        <v>17491000000</v>
      </c>
      <c r="AI3" s="55">
        <v>632000000</v>
      </c>
      <c r="AJ3" s="62">
        <v>39976500000</v>
      </c>
      <c r="AK3" s="33">
        <v>-3829000000</v>
      </c>
      <c r="AL3" s="33">
        <v>4.3</v>
      </c>
    </row>
    <row r="4" spans="1:38" ht="16">
      <c r="A4" s="33">
        <v>2006</v>
      </c>
      <c r="B4" s="54">
        <v>5.6</v>
      </c>
      <c r="C4" s="55">
        <v>222870000000</v>
      </c>
      <c r="D4" s="56">
        <v>549100</v>
      </c>
      <c r="E4" s="33">
        <v>42626000000</v>
      </c>
      <c r="F4" s="33">
        <v>74037000000</v>
      </c>
      <c r="G4" s="33">
        <v>115502000000</v>
      </c>
      <c r="H4" s="57">
        <v>207521000000</v>
      </c>
      <c r="I4" s="33">
        <v>48100</v>
      </c>
      <c r="J4" s="33">
        <v>532400</v>
      </c>
      <c r="K4" s="33">
        <v>16700</v>
      </c>
      <c r="L4" s="33">
        <v>8.9</v>
      </c>
      <c r="M4" s="33">
        <v>7222000000</v>
      </c>
      <c r="N4" s="33">
        <v>788276</v>
      </c>
      <c r="O4" s="33">
        <v>31942000000</v>
      </c>
      <c r="P4" s="33">
        <v>148766000000</v>
      </c>
      <c r="Q4" s="33">
        <v>31478000000</v>
      </c>
      <c r="R4" s="33">
        <v>166942200000</v>
      </c>
      <c r="S4" s="33">
        <v>139700000000</v>
      </c>
      <c r="T4" s="58">
        <v>83143</v>
      </c>
      <c r="U4" s="33">
        <v>22702000000</v>
      </c>
      <c r="V4" s="33">
        <v>84217000000</v>
      </c>
      <c r="W4" s="33">
        <v>192413000000</v>
      </c>
      <c r="X4" s="59">
        <v>8.9</v>
      </c>
      <c r="Y4" s="33">
        <v>25258600500</v>
      </c>
      <c r="Z4" s="33">
        <v>-10344500000</v>
      </c>
      <c r="AA4" s="33">
        <v>51695000000</v>
      </c>
      <c r="AB4" s="33">
        <v>0.731829701</v>
      </c>
      <c r="AC4" s="33">
        <v>0.83296847299999999</v>
      </c>
      <c r="AD4" s="60">
        <v>31.15</v>
      </c>
      <c r="AE4" s="61">
        <v>4.2720958083832805</v>
      </c>
      <c r="AF4" s="33">
        <v>5.4338755607604901</v>
      </c>
      <c r="AG4" s="33">
        <v>2028.6225679999998</v>
      </c>
      <c r="AH4" s="55">
        <v>22090000000</v>
      </c>
      <c r="AI4" s="55">
        <v>925000000</v>
      </c>
      <c r="AJ4" s="62">
        <v>43108400000</v>
      </c>
      <c r="AK4" s="33">
        <v>-5757199999.9999971</v>
      </c>
      <c r="AL4" s="33">
        <v>6.7</v>
      </c>
    </row>
    <row r="5" spans="1:38" ht="16">
      <c r="A5" s="33">
        <v>2007</v>
      </c>
      <c r="B5" s="54">
        <v>5.7</v>
      </c>
      <c r="C5" s="55">
        <v>255211000000</v>
      </c>
      <c r="D5" s="56">
        <v>549100</v>
      </c>
      <c r="E5" s="33">
        <v>53952000000</v>
      </c>
      <c r="F5" s="33">
        <v>69708000000</v>
      </c>
      <c r="G5" s="33">
        <v>121037000000</v>
      </c>
      <c r="H5" s="57">
        <v>239318000000</v>
      </c>
      <c r="I5" s="33">
        <v>44700</v>
      </c>
      <c r="J5" s="33">
        <v>527500</v>
      </c>
      <c r="K5" s="33">
        <v>21600</v>
      </c>
      <c r="L5" s="33">
        <v>8.8000000000000007</v>
      </c>
      <c r="M5" s="33">
        <v>11514000000</v>
      </c>
      <c r="N5" s="33">
        <v>906971</v>
      </c>
      <c r="O5" s="33">
        <v>40687000000</v>
      </c>
      <c r="P5" s="33">
        <v>169522000000</v>
      </c>
      <c r="Q5" s="33">
        <v>31737000000</v>
      </c>
      <c r="R5" s="33">
        <v>178142000000</v>
      </c>
      <c r="S5" s="33">
        <v>144900000000</v>
      </c>
      <c r="T5" s="58">
        <v>84914</v>
      </c>
      <c r="U5" s="33">
        <v>23216000000</v>
      </c>
      <c r="V5" s="33">
        <v>96131000000</v>
      </c>
      <c r="W5" s="33">
        <v>221518000000</v>
      </c>
      <c r="X5" s="59">
        <v>8.8000000000000007</v>
      </c>
      <c r="Y5" s="33">
        <v>28158966800.000004</v>
      </c>
      <c r="Z5" s="33">
        <v>-9439200000</v>
      </c>
      <c r="AA5" s="33">
        <v>61239000000</v>
      </c>
      <c r="AB5" s="33">
        <v>0.76598376700000004</v>
      </c>
      <c r="AC5" s="33">
        <v>0.909956082</v>
      </c>
      <c r="AD5" s="60">
        <v>31.37</v>
      </c>
      <c r="AE5" s="61">
        <v>4.8881839809674865</v>
      </c>
      <c r="AF5" s="33">
        <v>5.8316429999999997</v>
      </c>
      <c r="AG5" s="33">
        <v>2273.5649048999999</v>
      </c>
      <c r="AH5" s="55">
        <v>25549000000</v>
      </c>
      <c r="AI5" s="55">
        <v>945000000</v>
      </c>
      <c r="AJ5" s="62">
        <v>46464200000</v>
      </c>
      <c r="AK5" s="33">
        <v>-4635700000.0000048</v>
      </c>
      <c r="AL5" s="33">
        <v>8.3000000000000007</v>
      </c>
    </row>
    <row r="6" spans="1:38" ht="13.25" customHeight="1">
      <c r="A6" s="33">
        <v>2008</v>
      </c>
      <c r="B6" s="54">
        <v>5.4</v>
      </c>
      <c r="C6" s="55">
        <v>284254000000</v>
      </c>
      <c r="D6" s="56">
        <v>559400</v>
      </c>
      <c r="E6" s="33">
        <v>43423000000</v>
      </c>
      <c r="F6" s="33">
        <v>67970000000</v>
      </c>
      <c r="G6" s="33">
        <v>132165000000</v>
      </c>
      <c r="H6" s="57">
        <v>274314000000</v>
      </c>
      <c r="I6" s="33">
        <v>38100</v>
      </c>
      <c r="J6" s="33">
        <v>531800</v>
      </c>
      <c r="K6" s="33">
        <v>24000</v>
      </c>
      <c r="L6" s="33">
        <v>9.6999999999999993</v>
      </c>
      <c r="M6" s="33">
        <v>11419000000</v>
      </c>
      <c r="N6" s="33">
        <v>930456</v>
      </c>
      <c r="O6" s="33">
        <v>41213000000</v>
      </c>
      <c r="P6" s="33">
        <v>205400000000</v>
      </c>
      <c r="Q6" s="33">
        <v>35431000000</v>
      </c>
      <c r="R6" s="33">
        <v>189341800000</v>
      </c>
      <c r="S6" s="33">
        <v>143200000000</v>
      </c>
      <c r="T6" s="58">
        <v>86382</v>
      </c>
      <c r="U6" s="33">
        <v>24204000000</v>
      </c>
      <c r="V6" s="33">
        <v>108821000000</v>
      </c>
      <c r="W6" s="33">
        <v>246358000000</v>
      </c>
      <c r="X6" s="59">
        <v>9.6999999999999993</v>
      </c>
      <c r="Y6" s="33">
        <v>27466777670.000004</v>
      </c>
      <c r="Z6" s="33">
        <v>-8321100000</v>
      </c>
      <c r="AA6" s="33">
        <v>67529000000</v>
      </c>
      <c r="AB6" s="33">
        <v>0.80519359499999998</v>
      </c>
      <c r="AC6" s="33">
        <v>0.98967047600000002</v>
      </c>
      <c r="AD6" s="60">
        <v>28.361000000000001</v>
      </c>
      <c r="AE6" s="61">
        <v>2.5947846242997619</v>
      </c>
      <c r="AF6" s="33">
        <v>5.9484859999999999</v>
      </c>
      <c r="AG6" s="33">
        <v>2749.9035471400002</v>
      </c>
      <c r="AH6" s="55">
        <v>32172000000</v>
      </c>
      <c r="AI6" s="55">
        <v>948000000</v>
      </c>
      <c r="AJ6" s="62">
        <v>58490000000</v>
      </c>
      <c r="AK6" s="33">
        <v>2161699999.9999971</v>
      </c>
      <c r="AL6" s="33">
        <v>5.7</v>
      </c>
    </row>
    <row r="7" spans="1:38" ht="16">
      <c r="A7" s="33">
        <v>2009</v>
      </c>
      <c r="B7" s="54">
        <v>3.3</v>
      </c>
      <c r="C7" s="55">
        <v>291756000000</v>
      </c>
      <c r="D7" s="56">
        <v>566300</v>
      </c>
      <c r="E7" s="33">
        <v>37430000000</v>
      </c>
      <c r="F7" s="33">
        <v>61681000000</v>
      </c>
      <c r="G7" s="33">
        <v>118444000000</v>
      </c>
      <c r="H7" s="57">
        <v>296480000000</v>
      </c>
      <c r="I7" s="33">
        <v>39300</v>
      </c>
      <c r="J7" s="33">
        <v>540200</v>
      </c>
      <c r="K7" s="33">
        <v>21000</v>
      </c>
      <c r="L7" s="33">
        <v>2.5</v>
      </c>
      <c r="M7" s="33">
        <v>8793000000</v>
      </c>
      <c r="N7" s="33">
        <v>871356</v>
      </c>
      <c r="O7" s="33">
        <v>35693000000</v>
      </c>
      <c r="P7" s="33">
        <v>213707000000</v>
      </c>
      <c r="Q7" s="33">
        <v>40619000000</v>
      </c>
      <c r="R7" s="33">
        <v>200541600000</v>
      </c>
      <c r="S7" s="33">
        <v>172800000000</v>
      </c>
      <c r="T7" s="58">
        <v>89255</v>
      </c>
      <c r="U7" s="33">
        <v>23685000000</v>
      </c>
      <c r="V7" s="33">
        <v>110581000000</v>
      </c>
      <c r="W7" s="33">
        <v>254111000000</v>
      </c>
      <c r="X7" s="59">
        <v>2.5</v>
      </c>
      <c r="Y7" s="33">
        <v>28634467679.999996</v>
      </c>
      <c r="Z7" s="33">
        <v>-8432000000</v>
      </c>
      <c r="AA7" s="33">
        <v>74430000000</v>
      </c>
      <c r="AB7" s="33">
        <v>0.88328589400000002</v>
      </c>
      <c r="AC7" s="33">
        <v>0.86089137400000004</v>
      </c>
      <c r="AD7" s="60">
        <v>31.940999999999999</v>
      </c>
      <c r="AE7" s="61">
        <v>2.5678865683081087</v>
      </c>
      <c r="AF7" s="33">
        <v>5.2440300000000004</v>
      </c>
      <c r="AG7" s="33">
        <v>1963.0787219467156</v>
      </c>
      <c r="AH7" s="55">
        <v>21731000000</v>
      </c>
      <c r="AI7" s="55">
        <v>991000000</v>
      </c>
      <c r="AJ7" s="62">
        <v>69947000000</v>
      </c>
      <c r="AK7" s="62">
        <v>8516500000</v>
      </c>
      <c r="AL7" s="33">
        <v>-0.7</v>
      </c>
    </row>
    <row r="8" spans="1:38" ht="16">
      <c r="A8" s="33">
        <v>2010</v>
      </c>
      <c r="B8" s="54">
        <v>4.4000000000000004</v>
      </c>
      <c r="C8" s="55">
        <v>307957000000</v>
      </c>
      <c r="D8" s="56">
        <v>581300</v>
      </c>
      <c r="E8" s="33">
        <v>40005000000</v>
      </c>
      <c r="F8" s="33">
        <v>69550000000</v>
      </c>
      <c r="G8" s="33">
        <v>134882000000</v>
      </c>
      <c r="H8" s="57">
        <v>300231000000</v>
      </c>
      <c r="I8" s="33">
        <v>42200</v>
      </c>
      <c r="J8" s="33">
        <v>551900</v>
      </c>
      <c r="K8" s="33">
        <v>22000</v>
      </c>
      <c r="L8" s="33">
        <v>2.9</v>
      </c>
      <c r="M8" s="33">
        <v>13948000000</v>
      </c>
      <c r="N8" s="33">
        <v>934827</v>
      </c>
      <c r="O8" s="33">
        <v>39456000000</v>
      </c>
      <c r="P8" s="33">
        <v>225396000000</v>
      </c>
      <c r="Q8" s="33">
        <v>42555000000</v>
      </c>
      <c r="R8" s="33">
        <v>211741400000</v>
      </c>
      <c r="S8" s="33">
        <v>176000000000</v>
      </c>
      <c r="T8" s="58">
        <v>92874</v>
      </c>
      <c r="U8" s="33">
        <v>23603000000</v>
      </c>
      <c r="V8" s="33">
        <v>111651000000</v>
      </c>
      <c r="W8" s="33">
        <v>269432000000</v>
      </c>
      <c r="X8" s="59">
        <v>2.9</v>
      </c>
      <c r="Y8" s="33">
        <v>29703206200</v>
      </c>
      <c r="Z8" s="33">
        <v>-5101200000</v>
      </c>
      <c r="AA8" s="33">
        <v>74395000000</v>
      </c>
      <c r="AB8" s="33">
        <v>0.907304306</v>
      </c>
      <c r="AC8" s="33">
        <v>0.88893339299999996</v>
      </c>
      <c r="AD8" s="60">
        <v>30.89</v>
      </c>
      <c r="AE8" s="61">
        <v>2.5739138611999168</v>
      </c>
      <c r="AF8" s="33">
        <v>5.7064380000000003</v>
      </c>
      <c r="AG8" s="33">
        <v>2455.0219803</v>
      </c>
      <c r="AH8" s="55">
        <v>28918000000</v>
      </c>
      <c r="AI8" s="55">
        <v>885000000</v>
      </c>
      <c r="AJ8" s="62">
        <v>71079100000</v>
      </c>
      <c r="AK8" s="62">
        <v>3412500000</v>
      </c>
      <c r="AL8" s="33">
        <v>1.1000000000000001</v>
      </c>
    </row>
    <row r="9" spans="1:38" ht="16">
      <c r="A9" s="33">
        <v>2011</v>
      </c>
      <c r="B9" s="54">
        <v>4.0999999999999996</v>
      </c>
      <c r="C9" s="55">
        <v>330647000000</v>
      </c>
      <c r="D9" s="56">
        <v>582800</v>
      </c>
      <c r="E9" s="33">
        <v>43483000000</v>
      </c>
      <c r="F9" s="33">
        <v>73586000000</v>
      </c>
      <c r="G9" s="33">
        <v>147815000000</v>
      </c>
      <c r="H9" s="57">
        <v>319537000000</v>
      </c>
      <c r="I9" s="33">
        <v>42700</v>
      </c>
      <c r="J9" s="33">
        <v>548600</v>
      </c>
      <c r="K9" s="33">
        <v>23000</v>
      </c>
      <c r="L9" s="33">
        <v>6.5</v>
      </c>
      <c r="M9" s="33">
        <v>12894000000</v>
      </c>
      <c r="N9" s="33">
        <v>964642</v>
      </c>
      <c r="O9" s="33">
        <v>42717000000</v>
      </c>
      <c r="P9" s="33">
        <v>242647000000</v>
      </c>
      <c r="Q9" s="33">
        <v>44517000000</v>
      </c>
      <c r="R9" s="33">
        <v>222941200000</v>
      </c>
      <c r="S9" s="33">
        <v>185300000000</v>
      </c>
      <c r="T9" s="58">
        <v>99206</v>
      </c>
      <c r="U9" s="33">
        <v>25533000000</v>
      </c>
      <c r="V9" s="33">
        <v>116226000000</v>
      </c>
      <c r="W9" s="33">
        <v>289792000000</v>
      </c>
      <c r="X9" s="59">
        <v>6.5</v>
      </c>
      <c r="Y9" s="33">
        <v>29861762500</v>
      </c>
      <c r="Z9" s="33">
        <v>-12007700000</v>
      </c>
      <c r="AA9" s="33">
        <v>77567000000</v>
      </c>
      <c r="AB9" s="33">
        <v>0.91942678600000005</v>
      </c>
      <c r="AC9" s="33">
        <v>0.995970095</v>
      </c>
      <c r="AD9" s="60">
        <v>28.75</v>
      </c>
      <c r="AE9" s="61">
        <v>4.450047267914603</v>
      </c>
      <c r="AF9" s="33">
        <v>5.9626693725585902</v>
      </c>
      <c r="AG9" s="33">
        <v>3198.0323696136252</v>
      </c>
      <c r="AH9" s="55">
        <v>36860000000</v>
      </c>
      <c r="AI9" s="55">
        <v>1298000000</v>
      </c>
      <c r="AJ9" s="62">
        <v>75845000000</v>
      </c>
      <c r="AK9" s="62">
        <v>8208500000</v>
      </c>
      <c r="AL9" s="33">
        <v>3.2</v>
      </c>
    </row>
    <row r="10" spans="1:38" ht="16">
      <c r="A10" s="33">
        <v>2012</v>
      </c>
      <c r="B10" s="54">
        <v>3.5</v>
      </c>
      <c r="C10" s="55">
        <v>350644000000</v>
      </c>
      <c r="D10" s="56">
        <v>556300</v>
      </c>
      <c r="E10" s="33">
        <v>43457000000</v>
      </c>
      <c r="F10" s="33">
        <v>79658000000</v>
      </c>
      <c r="G10" s="33">
        <v>160996000000</v>
      </c>
      <c r="H10" s="57">
        <v>345617000000</v>
      </c>
      <c r="I10" s="33">
        <v>44600</v>
      </c>
      <c r="J10" s="33">
        <v>556300</v>
      </c>
      <c r="K10" s="33">
        <v>24000</v>
      </c>
      <c r="L10" s="33">
        <v>3.9</v>
      </c>
      <c r="M10" s="33">
        <v>20373000000</v>
      </c>
      <c r="N10" s="33">
        <v>965441</v>
      </c>
      <c r="O10" s="33">
        <v>44378000000</v>
      </c>
      <c r="P10" s="33">
        <v>260349000000</v>
      </c>
      <c r="Q10" s="33">
        <v>46838000000</v>
      </c>
      <c r="R10" s="33">
        <v>234141000000</v>
      </c>
      <c r="S10" s="33">
        <v>196100000000</v>
      </c>
      <c r="T10" s="58">
        <v>102877</v>
      </c>
      <c r="U10" s="33">
        <v>26648000000</v>
      </c>
      <c r="V10" s="33">
        <v>120279000000</v>
      </c>
      <c r="W10" s="33">
        <v>309655000000</v>
      </c>
      <c r="X10" s="59">
        <v>3.9</v>
      </c>
      <c r="Y10" s="33">
        <v>29991057200</v>
      </c>
      <c r="Z10" s="33">
        <v>-11139000000</v>
      </c>
      <c r="AA10" s="33">
        <v>79185000000</v>
      </c>
      <c r="AB10" s="33">
        <v>0.96915690200000004</v>
      </c>
      <c r="AC10" s="33">
        <v>1</v>
      </c>
      <c r="AD10" s="60">
        <v>29.93</v>
      </c>
      <c r="AE10" s="61">
        <v>2.2849355982825781</v>
      </c>
      <c r="AF10" s="33">
        <v>6.0173964500427202</v>
      </c>
      <c r="AG10" s="33">
        <v>3342.3874001312224</v>
      </c>
      <c r="AH10" s="55">
        <v>38446000000</v>
      </c>
      <c r="AI10" s="55">
        <v>1230000000</v>
      </c>
      <c r="AJ10" s="62">
        <v>82411400000</v>
      </c>
      <c r="AK10" s="62">
        <v>11201600000</v>
      </c>
      <c r="AL10" s="33">
        <v>2.5</v>
      </c>
    </row>
    <row r="11" spans="1:38" ht="16">
      <c r="A11" s="33">
        <v>2013</v>
      </c>
      <c r="B11" s="54">
        <v>3.4</v>
      </c>
      <c r="C11" s="55">
        <v>377411000000</v>
      </c>
      <c r="D11" s="56">
        <v>571200</v>
      </c>
      <c r="E11" s="33">
        <v>46748000000</v>
      </c>
      <c r="F11" s="33">
        <v>88048000000</v>
      </c>
      <c r="G11" s="33">
        <v>165594000000</v>
      </c>
      <c r="H11" s="57">
        <v>365609000000</v>
      </c>
      <c r="I11" s="33">
        <v>45500</v>
      </c>
      <c r="J11" s="33">
        <v>571200</v>
      </c>
      <c r="K11" s="33">
        <v>26300</v>
      </c>
      <c r="L11" s="33">
        <v>3.5</v>
      </c>
      <c r="M11" s="33">
        <v>13766000000</v>
      </c>
      <c r="N11" s="33">
        <v>992503</v>
      </c>
      <c r="O11" s="33">
        <v>40557000000</v>
      </c>
      <c r="P11" s="33">
        <v>276506000000</v>
      </c>
      <c r="Q11" s="33">
        <v>54157000000</v>
      </c>
      <c r="R11" s="33">
        <v>245340800000</v>
      </c>
      <c r="S11" s="33">
        <v>214800000000</v>
      </c>
      <c r="T11" s="58">
        <v>107410</v>
      </c>
      <c r="U11" s="33">
        <v>26130000000</v>
      </c>
      <c r="V11" s="33">
        <v>127513000000</v>
      </c>
      <c r="W11" s="33">
        <v>333835000000</v>
      </c>
      <c r="X11" s="59">
        <v>3.5</v>
      </c>
      <c r="Y11" s="33">
        <v>30413421410</v>
      </c>
      <c r="Z11" s="33">
        <v>-7404600000</v>
      </c>
      <c r="AA11" s="33">
        <v>77618000000</v>
      </c>
      <c r="AB11" s="33">
        <v>0.95460922400000003</v>
      </c>
      <c r="AC11" s="33">
        <v>0.99294108699999994</v>
      </c>
      <c r="AD11" s="60">
        <v>30.658999999999999</v>
      </c>
      <c r="AE11" s="61">
        <v>0.34670289855074365</v>
      </c>
      <c r="AF11" s="33">
        <v>6.2718069999999999</v>
      </c>
      <c r="AG11" s="33">
        <v>3331.6168691940029</v>
      </c>
      <c r="AH11" s="55">
        <v>40055000000</v>
      </c>
      <c r="AI11" s="55">
        <v>1013000000</v>
      </c>
      <c r="AJ11" s="62">
        <v>85674500000</v>
      </c>
      <c r="AK11" s="62">
        <v>3703100000</v>
      </c>
      <c r="AL11" s="33">
        <v>4.0999999999999996</v>
      </c>
    </row>
    <row r="12" spans="1:38" ht="16">
      <c r="A12" s="33">
        <v>2014</v>
      </c>
      <c r="B12" s="54">
        <v>3.8</v>
      </c>
      <c r="C12" s="55">
        <v>400351000000</v>
      </c>
      <c r="D12" s="56">
        <v>575700</v>
      </c>
      <c r="E12" s="33">
        <v>50928000000</v>
      </c>
      <c r="F12" s="33">
        <v>94776000000</v>
      </c>
      <c r="G12" s="33">
        <v>172038000000</v>
      </c>
      <c r="H12" s="57">
        <v>397557000000</v>
      </c>
      <c r="I12" s="33">
        <v>44800</v>
      </c>
      <c r="J12" s="33">
        <v>575700</v>
      </c>
      <c r="K12" s="33">
        <v>28300</v>
      </c>
      <c r="L12" s="33">
        <v>3.2</v>
      </c>
      <c r="M12" s="33">
        <v>18497000000</v>
      </c>
      <c r="N12" s="33">
        <v>1038334</v>
      </c>
      <c r="O12" s="33">
        <v>44304000000</v>
      </c>
      <c r="P12" s="33">
        <v>291994000000</v>
      </c>
      <c r="Q12" s="33">
        <v>57429000000</v>
      </c>
      <c r="R12" s="33">
        <v>256540600000</v>
      </c>
      <c r="S12" s="33">
        <v>237700000000</v>
      </c>
      <c r="T12" s="58">
        <v>112283</v>
      </c>
      <c r="U12" s="33">
        <v>26641000000</v>
      </c>
      <c r="V12" s="33">
        <v>132002000000</v>
      </c>
      <c r="W12" s="33">
        <v>359496000000</v>
      </c>
      <c r="X12" s="59">
        <v>3.2</v>
      </c>
      <c r="Y12" s="33">
        <v>30207956880</v>
      </c>
      <c r="Z12" s="33">
        <v>-13257200000</v>
      </c>
      <c r="AA12" s="33">
        <v>73990000000</v>
      </c>
      <c r="AB12" s="33">
        <v>0.97765965099999996</v>
      </c>
      <c r="AC12" s="33">
        <v>0.99674064799999995</v>
      </c>
      <c r="AD12" s="60">
        <v>30.617000000000001</v>
      </c>
      <c r="AE12" s="61">
        <v>2.3507079370626016</v>
      </c>
      <c r="AF12" s="33">
        <v>6.464156</v>
      </c>
      <c r="AG12" s="33">
        <v>3031.2143469299999</v>
      </c>
      <c r="AH12" s="55">
        <v>37071000000</v>
      </c>
      <c r="AI12" s="55">
        <v>1131000000</v>
      </c>
      <c r="AJ12" s="62">
        <v>88141500000</v>
      </c>
      <c r="AK12" s="62">
        <v>7329000000</v>
      </c>
      <c r="AL12" s="33">
        <v>2.2000000000000002</v>
      </c>
    </row>
    <row r="13" spans="1:38" ht="16">
      <c r="A13" s="33">
        <v>2015</v>
      </c>
      <c r="B13" s="54">
        <v>3.7</v>
      </c>
      <c r="C13" s="55">
        <v>420936000000</v>
      </c>
      <c r="D13" s="56">
        <v>584600</v>
      </c>
      <c r="E13" s="33">
        <v>55730000000</v>
      </c>
      <c r="F13" s="33">
        <v>93290000000</v>
      </c>
      <c r="G13" s="33">
        <v>168023000000</v>
      </c>
      <c r="H13" s="57">
        <v>437999000000</v>
      </c>
      <c r="I13" s="33">
        <v>46300</v>
      </c>
      <c r="J13" s="33">
        <v>584600</v>
      </c>
      <c r="K13" s="33">
        <v>28300</v>
      </c>
      <c r="L13" s="33">
        <v>1.3</v>
      </c>
      <c r="M13" s="33">
        <v>13726000000</v>
      </c>
      <c r="N13" s="33">
        <v>1151252</v>
      </c>
      <c r="O13" s="33">
        <v>50191000000</v>
      </c>
      <c r="P13" s="33">
        <v>305476000000</v>
      </c>
      <c r="Q13" s="33">
        <v>59730000000</v>
      </c>
      <c r="R13" s="33">
        <v>267740400000</v>
      </c>
      <c r="S13" s="33">
        <v>274300000000</v>
      </c>
      <c r="T13" s="58">
        <v>118635</v>
      </c>
      <c r="U13" s="33">
        <v>26909000000</v>
      </c>
      <c r="V13" s="33">
        <v>134502000000</v>
      </c>
      <c r="W13" s="33">
        <v>380508000000</v>
      </c>
      <c r="X13" s="59">
        <v>1.3</v>
      </c>
      <c r="Y13" s="33">
        <v>31525858420</v>
      </c>
      <c r="Z13" s="33">
        <v>-14820100000</v>
      </c>
      <c r="AA13" s="33">
        <v>71133000000</v>
      </c>
      <c r="AB13" s="33">
        <v>0.946503392</v>
      </c>
      <c r="AC13" s="33">
        <v>0.87607602699999998</v>
      </c>
      <c r="AD13" s="60">
        <v>35.122</v>
      </c>
      <c r="AE13" s="61">
        <v>1.892332462610824</v>
      </c>
      <c r="AF13" s="33">
        <v>6.7447530000000002</v>
      </c>
      <c r="AG13" s="33">
        <v>1838.75892456</v>
      </c>
      <c r="AH13" s="55">
        <v>29753000000</v>
      </c>
      <c r="AI13" s="55">
        <v>1127000000</v>
      </c>
      <c r="AJ13" s="62">
        <v>45283318999.999992</v>
      </c>
      <c r="AK13" s="62">
        <v>2100900000</v>
      </c>
      <c r="AL13" s="33">
        <v>1.4</v>
      </c>
    </row>
    <row r="14" spans="1:38" ht="16">
      <c r="A14" s="33">
        <v>2016</v>
      </c>
      <c r="B14" s="54">
        <v>3.9</v>
      </c>
      <c r="C14" s="55">
        <v>447620000000</v>
      </c>
      <c r="D14" s="56">
        <v>581000</v>
      </c>
      <c r="E14" s="33">
        <v>62337000000</v>
      </c>
      <c r="F14" s="33">
        <v>84456000000</v>
      </c>
      <c r="G14" s="33">
        <v>165423000000</v>
      </c>
      <c r="H14" s="57">
        <v>477789000000</v>
      </c>
      <c r="I14" s="33">
        <v>42400</v>
      </c>
      <c r="J14" s="33">
        <v>581000</v>
      </c>
      <c r="K14" s="33">
        <v>28600</v>
      </c>
      <c r="L14" s="33">
        <v>1</v>
      </c>
      <c r="M14" s="33">
        <v>18161000000</v>
      </c>
      <c r="N14" s="33">
        <v>1275227</v>
      </c>
      <c r="O14" s="33">
        <v>55867000000</v>
      </c>
      <c r="P14" s="33">
        <v>318666000000</v>
      </c>
      <c r="Q14" s="33">
        <v>66618000000</v>
      </c>
      <c r="R14" s="33">
        <v>278940200000</v>
      </c>
      <c r="S14" s="33">
        <v>295600000000</v>
      </c>
      <c r="T14" s="58">
        <v>126239</v>
      </c>
      <c r="U14" s="33">
        <v>28881000000</v>
      </c>
      <c r="V14" s="33">
        <v>137464000000</v>
      </c>
      <c r="W14" s="33">
        <v>407159000000</v>
      </c>
      <c r="X14" s="59">
        <v>1</v>
      </c>
      <c r="Y14" s="33">
        <v>30867737112.348488</v>
      </c>
      <c r="Z14" s="33">
        <v>-14918100000</v>
      </c>
      <c r="AA14" s="33">
        <v>74980000000</v>
      </c>
      <c r="AB14" s="33">
        <v>0.92268105099999997</v>
      </c>
      <c r="AC14" s="33">
        <v>0.88108838700000003</v>
      </c>
      <c r="AD14" s="60">
        <v>35.845201839826842</v>
      </c>
      <c r="AE14" s="61">
        <v>3.4961002655081508</v>
      </c>
      <c r="AF14" s="33">
        <v>6.9526159999999999</v>
      </c>
      <c r="AG14" s="33">
        <v>1563.4276456467517</v>
      </c>
      <c r="AH14" s="55">
        <v>26579000000</v>
      </c>
      <c r="AI14" s="55">
        <v>1380000000</v>
      </c>
      <c r="AJ14" s="62">
        <v>96638900000</v>
      </c>
      <c r="AK14" s="62">
        <v>3508300000</v>
      </c>
      <c r="AL14" s="33">
        <v>2.4</v>
      </c>
    </row>
    <row r="15" spans="1:38" ht="16">
      <c r="A15" s="33">
        <v>2017</v>
      </c>
      <c r="B15" s="54">
        <v>3.9</v>
      </c>
      <c r="C15" s="55">
        <v>472861000000</v>
      </c>
      <c r="D15" s="56">
        <v>586900</v>
      </c>
      <c r="E15" s="33">
        <v>64013000000</v>
      </c>
      <c r="F15" s="33">
        <v>80680000000</v>
      </c>
      <c r="G15" s="33">
        <v>180867000000</v>
      </c>
      <c r="H15" s="55">
        <v>522083000000</v>
      </c>
      <c r="I15" s="33">
        <v>41800</v>
      </c>
      <c r="J15" s="33">
        <v>586900</v>
      </c>
      <c r="K15" s="33">
        <v>28400</v>
      </c>
      <c r="L15" s="33">
        <v>3.7</v>
      </c>
      <c r="M15" s="33">
        <v>21242000000</v>
      </c>
      <c r="N15" s="33">
        <v>1341860</v>
      </c>
      <c r="O15" s="33">
        <v>60262000000</v>
      </c>
      <c r="P15" s="33">
        <v>340516000000</v>
      </c>
      <c r="Q15" s="33">
        <v>68332000000</v>
      </c>
      <c r="R15" s="33">
        <v>290140000000</v>
      </c>
      <c r="S15" s="33">
        <v>302100000000</v>
      </c>
      <c r="T15" s="58">
        <v>132689</v>
      </c>
      <c r="U15" s="33">
        <v>29643000000</v>
      </c>
      <c r="V15" s="33">
        <v>138656000000</v>
      </c>
      <c r="W15" s="33">
        <v>431853000000</v>
      </c>
      <c r="X15" s="59">
        <v>3.7</v>
      </c>
      <c r="Y15" s="33">
        <v>30297321914.558941</v>
      </c>
      <c r="Z15" s="33">
        <v>-15635800000</v>
      </c>
      <c r="AA15" s="33">
        <v>79491000000</v>
      </c>
      <c r="AB15" s="33">
        <v>0.94056441599999996</v>
      </c>
      <c r="AC15" s="33">
        <v>0.89816560499999998</v>
      </c>
      <c r="AD15" s="60">
        <v>34.779334788790351</v>
      </c>
      <c r="AE15" s="61">
        <v>2.5337086595675018</v>
      </c>
      <c r="AF15" s="33">
        <v>7.2117570000000004</v>
      </c>
      <c r="AG15" s="33">
        <v>1887.2762567793561</v>
      </c>
      <c r="AH15" s="55">
        <v>35213000000</v>
      </c>
      <c r="AI15" s="55">
        <v>2043000000</v>
      </c>
      <c r="AJ15" s="62">
        <v>105930769834.99998</v>
      </c>
      <c r="AK15" s="62">
        <v>2092699999.9999998</v>
      </c>
      <c r="AL15" s="33">
        <v>1.6</v>
      </c>
    </row>
    <row r="16" spans="1:38" ht="16">
      <c r="A16" s="33">
        <v>2018</v>
      </c>
      <c r="B16" s="54">
        <v>4</v>
      </c>
      <c r="C16" s="55">
        <v>500047000000</v>
      </c>
      <c r="D16" s="56">
        <v>583800</v>
      </c>
      <c r="E16" s="33">
        <v>64897000000</v>
      </c>
      <c r="F16" s="33">
        <v>80339000000</v>
      </c>
      <c r="G16" s="33">
        <v>192438000000</v>
      </c>
      <c r="H16" s="55">
        <v>554893000000</v>
      </c>
      <c r="I16" s="33">
        <v>40100</v>
      </c>
      <c r="J16" s="33">
        <v>583800</v>
      </c>
      <c r="K16" s="33">
        <v>29400</v>
      </c>
      <c r="L16" s="33">
        <v>3.2</v>
      </c>
      <c r="M16" s="33">
        <v>17370000000</v>
      </c>
      <c r="N16" s="33">
        <v>1399408</v>
      </c>
      <c r="O16" s="33">
        <v>64037000000</v>
      </c>
      <c r="P16" s="33">
        <v>362331000000</v>
      </c>
      <c r="Q16" s="33">
        <v>72819000000</v>
      </c>
      <c r="R16" s="33">
        <v>312955550000</v>
      </c>
      <c r="S16" s="33">
        <v>286800000000</v>
      </c>
      <c r="T16" s="58">
        <v>139641</v>
      </c>
      <c r="U16" s="33">
        <v>27203000000</v>
      </c>
      <c r="V16" s="33">
        <v>143075000000</v>
      </c>
      <c r="W16" s="33">
        <v>458557000000</v>
      </c>
      <c r="X16" s="59">
        <v>3.2</v>
      </c>
      <c r="Y16" s="33">
        <v>30050734495.430023</v>
      </c>
      <c r="Z16" s="33">
        <v>-14609200000</v>
      </c>
      <c r="AA16" s="33">
        <v>90242000000</v>
      </c>
      <c r="AB16" s="33">
        <v>0.91335543200000002</v>
      </c>
      <c r="AC16" s="33">
        <v>0.87218314799999996</v>
      </c>
      <c r="AD16" s="60">
        <v>34.1547718851496</v>
      </c>
      <c r="AE16" s="61">
        <v>3.9151132741302108</v>
      </c>
      <c r="AF16" s="33">
        <v>7.4516249999999999</v>
      </c>
      <c r="AG16" s="33">
        <v>2132.7660403597833</v>
      </c>
      <c r="AH16" s="55">
        <v>42973000000</v>
      </c>
      <c r="AI16" s="55">
        <v>1486000000</v>
      </c>
      <c r="AJ16" s="62">
        <v>112445888024.00002</v>
      </c>
      <c r="AK16" s="62">
        <v>2037200000</v>
      </c>
      <c r="AL16" s="33">
        <v>1.7</v>
      </c>
    </row>
    <row r="17" spans="1:38" ht="16">
      <c r="A17" s="33">
        <v>2019</v>
      </c>
      <c r="B17" s="54">
        <v>2.9</v>
      </c>
      <c r="C17" s="55">
        <v>512108000000</v>
      </c>
      <c r="D17" s="56">
        <v>591000</v>
      </c>
      <c r="E17" s="33">
        <v>60828000000</v>
      </c>
      <c r="F17" s="33">
        <v>78799000000</v>
      </c>
      <c r="G17" s="33">
        <v>198639000000</v>
      </c>
      <c r="H17" s="55">
        <v>601973000000</v>
      </c>
      <c r="I17" s="33">
        <v>39700</v>
      </c>
      <c r="J17" s="33">
        <v>591000</v>
      </c>
      <c r="K17" s="33">
        <v>30900</v>
      </c>
      <c r="L17" s="33">
        <v>0.5</v>
      </c>
      <c r="M17" s="33">
        <v>22289000000</v>
      </c>
      <c r="N17" s="33">
        <v>1383488</v>
      </c>
      <c r="O17" s="33">
        <v>63107000000</v>
      </c>
      <c r="P17" s="33">
        <v>375746000000</v>
      </c>
      <c r="Q17" s="33">
        <v>75534000000</v>
      </c>
      <c r="R17" s="33">
        <v>326452250000</v>
      </c>
      <c r="S17" s="33">
        <v>381796200000</v>
      </c>
      <c r="T17" s="58">
        <v>145956</v>
      </c>
      <c r="U17" s="33">
        <v>29343000000</v>
      </c>
      <c r="V17" s="33">
        <v>138861000000</v>
      </c>
      <c r="W17" s="33">
        <v>473500000000</v>
      </c>
      <c r="X17" s="59">
        <v>0.5</v>
      </c>
      <c r="Y17" s="33">
        <v>31886538998.533455</v>
      </c>
      <c r="Z17" s="33">
        <v>-15590200000</v>
      </c>
      <c r="AA17" s="33">
        <v>97745000000</v>
      </c>
      <c r="AB17" s="33">
        <v>0.89614458100000005</v>
      </c>
      <c r="AC17" s="33">
        <v>0.85574812899999997</v>
      </c>
      <c r="AD17" s="60">
        <v>35.584477946760842</v>
      </c>
      <c r="AE17" s="61">
        <v>1.3647879708466926</v>
      </c>
      <c r="AF17" s="33">
        <v>7.7321059999999999</v>
      </c>
      <c r="AG17" s="33">
        <v>2200.7277321338956</v>
      </c>
      <c r="AH17" s="55">
        <v>41371000000</v>
      </c>
      <c r="AI17" s="55">
        <v>1624000000</v>
      </c>
      <c r="AJ17" s="62">
        <v>117423426635.60001</v>
      </c>
      <c r="AK17" s="62">
        <v>1891100000</v>
      </c>
      <c r="AL17" s="33">
        <v>-0.5</v>
      </c>
    </row>
    <row r="18" spans="1:38" ht="16">
      <c r="A18" s="33">
        <v>2020</v>
      </c>
      <c r="B18" s="54">
        <v>-14.5</v>
      </c>
      <c r="C18" s="55">
        <v>448874000000</v>
      </c>
      <c r="D18" s="56">
        <v>570100</v>
      </c>
      <c r="E18" s="33">
        <v>43970000000</v>
      </c>
      <c r="F18" s="33">
        <v>70223000000</v>
      </c>
      <c r="G18" s="33">
        <v>165722000000</v>
      </c>
      <c r="H18" s="55">
        <v>703593000000</v>
      </c>
      <c r="I18" s="33">
        <v>52200</v>
      </c>
      <c r="J18" s="33">
        <v>570100</v>
      </c>
      <c r="K18" s="33">
        <v>31800</v>
      </c>
      <c r="L18" s="33">
        <v>2.5</v>
      </c>
      <c r="M18" s="33">
        <v>16944000000</v>
      </c>
      <c r="N18" s="33">
        <v>308980</v>
      </c>
      <c r="O18" s="33">
        <v>17664000000</v>
      </c>
      <c r="P18" s="33">
        <v>326044000000</v>
      </c>
      <c r="Q18" s="33">
        <v>78860000000</v>
      </c>
      <c r="R18" s="33">
        <v>361927000000</v>
      </c>
      <c r="S18" s="33">
        <v>419300000000</v>
      </c>
      <c r="T18" s="58">
        <v>152021</v>
      </c>
      <c r="U18" s="33">
        <v>29678000000</v>
      </c>
      <c r="V18" s="33">
        <v>121779000000</v>
      </c>
      <c r="W18" s="33">
        <v>428911000000</v>
      </c>
      <c r="X18" s="59">
        <v>2.5</v>
      </c>
      <c r="Y18" s="33">
        <v>35797448663.569847</v>
      </c>
      <c r="Z18" s="33">
        <v>-54394300000</v>
      </c>
      <c r="AA18" s="33">
        <v>76916000000</v>
      </c>
      <c r="AB18" s="33">
        <v>0.94037125499999996</v>
      </c>
      <c r="AC18" s="33">
        <v>0.89798115099999998</v>
      </c>
      <c r="AD18" s="60">
        <v>39.133586951155891</v>
      </c>
      <c r="AE18" s="61">
        <v>-9.2643259959978348</v>
      </c>
      <c r="AF18" s="33">
        <v>8.0816920000000003</v>
      </c>
      <c r="AG18" s="33">
        <v>2545.7822774291931</v>
      </c>
      <c r="AH18" s="55">
        <v>28440000000</v>
      </c>
      <c r="AI18" s="55">
        <v>1580000000</v>
      </c>
      <c r="AJ18" s="62">
        <v>114185920945.36</v>
      </c>
      <c r="AK18" s="62">
        <v>-26471100000</v>
      </c>
      <c r="AL18" s="33">
        <v>2.6</v>
      </c>
    </row>
    <row r="19" spans="1:38" ht="16">
      <c r="A19" s="33">
        <v>2021</v>
      </c>
      <c r="B19" s="54">
        <v>3.4</v>
      </c>
      <c r="C19" s="55">
        <v>478807000000</v>
      </c>
      <c r="D19" s="56">
        <v>532800</v>
      </c>
      <c r="E19" s="33">
        <v>46279000000</v>
      </c>
      <c r="F19" s="33">
        <v>81992000000</v>
      </c>
      <c r="G19" s="33">
        <v>214836000000</v>
      </c>
      <c r="H19" s="57">
        <v>765847000000</v>
      </c>
      <c r="I19" s="33">
        <v>48400</v>
      </c>
      <c r="J19" s="33">
        <v>532800</v>
      </c>
      <c r="K19" s="33">
        <v>30000</v>
      </c>
      <c r="L19" s="33">
        <v>4</v>
      </c>
      <c r="M19" s="33">
        <v>18469000000</v>
      </c>
      <c r="N19" s="33">
        <v>179780</v>
      </c>
      <c r="O19" s="33">
        <v>15253000000</v>
      </c>
      <c r="P19" s="33">
        <v>350019000000</v>
      </c>
      <c r="Q19" s="33">
        <v>82509000000</v>
      </c>
      <c r="R19" s="33">
        <v>421824770000</v>
      </c>
      <c r="S19" s="33">
        <v>449200000000</v>
      </c>
      <c r="T19" s="58">
        <v>159505</v>
      </c>
      <c r="U19" s="33">
        <v>33070000000</v>
      </c>
      <c r="V19" s="33">
        <v>141685000000</v>
      </c>
      <c r="W19" s="33">
        <v>449161000000</v>
      </c>
      <c r="X19" s="59">
        <v>4</v>
      </c>
      <c r="Y19" s="33">
        <v>38703365703.723038</v>
      </c>
      <c r="Z19" s="33">
        <v>-85821700000</v>
      </c>
      <c r="AA19" s="33">
        <v>93820000000</v>
      </c>
      <c r="AB19" s="33">
        <v>1.123803026</v>
      </c>
      <c r="AC19" s="33">
        <v>1.0731441749999999</v>
      </c>
      <c r="AD19" s="60">
        <v>41.397073260803523</v>
      </c>
      <c r="AE19" s="61">
        <v>11.13685847589425</v>
      </c>
      <c r="AF19" s="33">
        <v>8.4425950000000007</v>
      </c>
      <c r="AG19" s="33">
        <v>2746.8388207631592</v>
      </c>
      <c r="AH19" s="55">
        <v>42085000000</v>
      </c>
      <c r="AI19" s="55">
        <v>2362000000</v>
      </c>
      <c r="AJ19" s="62">
        <v>105783945999.99998</v>
      </c>
      <c r="AK19" s="62">
        <v>-50470900000</v>
      </c>
      <c r="AL19" s="33">
        <v>3.2</v>
      </c>
    </row>
    <row r="20" spans="1:38" ht="16">
      <c r="A20" s="33">
        <v>2022</v>
      </c>
      <c r="B20" s="54">
        <v>8.6999999999999993</v>
      </c>
      <c r="C20" s="55">
        <v>570301000000</v>
      </c>
      <c r="D20" s="56">
        <v>562800</v>
      </c>
      <c r="E20" s="33">
        <v>76536000000</v>
      </c>
      <c r="F20" s="33">
        <v>105524000000</v>
      </c>
      <c r="G20" s="33">
        <v>292112000000</v>
      </c>
      <c r="H20" s="57">
        <v>806105000000</v>
      </c>
      <c r="I20" s="33">
        <v>43200</v>
      </c>
      <c r="J20" s="33">
        <v>562800</v>
      </c>
      <c r="K20" s="33">
        <v>28300</v>
      </c>
      <c r="L20" s="33">
        <v>10.8</v>
      </c>
      <c r="M20" s="33">
        <v>33491000000</v>
      </c>
      <c r="N20" s="33">
        <v>997290</v>
      </c>
      <c r="O20" s="33">
        <v>64845000000</v>
      </c>
      <c r="P20" s="33">
        <v>400889000000</v>
      </c>
      <c r="Q20" s="33">
        <v>91136000000</v>
      </c>
      <c r="R20" s="33">
        <v>475134250000</v>
      </c>
      <c r="S20" s="33">
        <v>495500000000</v>
      </c>
      <c r="T20" s="58">
        <v>165050</v>
      </c>
      <c r="U20" s="33">
        <v>42536000000</v>
      </c>
      <c r="V20" s="33">
        <v>168817000000</v>
      </c>
      <c r="W20" s="33">
        <v>520152000000</v>
      </c>
      <c r="X20" s="59">
        <v>10.8</v>
      </c>
      <c r="Y20" s="33">
        <v>41852451846.047012</v>
      </c>
      <c r="Z20" s="33">
        <v>-28755800000</v>
      </c>
      <c r="AA20" s="63">
        <v>112806000000</v>
      </c>
      <c r="AB20" s="33">
        <v>1.2315089159999999</v>
      </c>
      <c r="AC20" s="33">
        <v>1.1759948929999999</v>
      </c>
      <c r="AD20" s="60">
        <v>43.814463522588525</v>
      </c>
      <c r="AE20" s="61">
        <v>3.1804343858368389</v>
      </c>
      <c r="AF20" s="33">
        <v>8.8280729999999998</v>
      </c>
      <c r="AG20" s="33">
        <v>2965.3298110748901</v>
      </c>
      <c r="AH20" s="55">
        <v>74198000000</v>
      </c>
      <c r="AI20" s="55">
        <v>2941000000</v>
      </c>
      <c r="AJ20" s="62">
        <v>139132628400.00003</v>
      </c>
      <c r="AK20" s="62">
        <v>-20991600000</v>
      </c>
      <c r="AL20" s="33">
        <v>9.6</v>
      </c>
    </row>
    <row r="21" spans="1:38" ht="16">
      <c r="A21" s="33">
        <v>2023</v>
      </c>
      <c r="B21" s="54">
        <v>5</v>
      </c>
      <c r="C21" s="55">
        <v>641331000000</v>
      </c>
      <c r="D21" s="56">
        <v>592800</v>
      </c>
      <c r="E21" s="33">
        <v>101136000000</v>
      </c>
      <c r="F21" s="33">
        <v>103895000000</v>
      </c>
      <c r="G21" s="33">
        <v>283871000000</v>
      </c>
      <c r="H21" s="57">
        <v>864674000000</v>
      </c>
      <c r="I21" s="33">
        <v>37600</v>
      </c>
      <c r="J21" s="33">
        <v>592800</v>
      </c>
      <c r="K21" s="33">
        <v>26700</v>
      </c>
      <c r="L21" s="33">
        <v>7</v>
      </c>
      <c r="M21" s="33">
        <v>37011000000</v>
      </c>
      <c r="N21" s="33">
        <v>1295410</v>
      </c>
      <c r="O21" s="33">
        <v>85993000000</v>
      </c>
      <c r="P21" s="33">
        <v>439397000000</v>
      </c>
      <c r="Q21" s="33">
        <v>91779000000</v>
      </c>
      <c r="R21" s="33">
        <v>512131740000</v>
      </c>
      <c r="S21" s="33">
        <v>516500000000</v>
      </c>
      <c r="T21" s="58">
        <v>171767</v>
      </c>
      <c r="U21" s="33">
        <v>53095000000</v>
      </c>
      <c r="V21" s="33">
        <v>188184000000</v>
      </c>
      <c r="W21" s="33">
        <v>575831000000</v>
      </c>
      <c r="X21" s="59">
        <v>7</v>
      </c>
      <c r="Y21" s="33">
        <v>43901532220.529488</v>
      </c>
      <c r="Z21" s="64">
        <v>-30455800000</v>
      </c>
      <c r="AA21" s="63">
        <v>140986000000</v>
      </c>
      <c r="AB21" s="33">
        <v>1.339214806</v>
      </c>
      <c r="AC21" s="33">
        <v>1.2788456109999999</v>
      </c>
      <c r="AD21" s="60">
        <v>44.981078094804801</v>
      </c>
      <c r="AE21" s="61">
        <v>0.72672946044769482</v>
      </c>
      <c r="AF21" s="33">
        <v>9.2713210000000004</v>
      </c>
      <c r="AG21" s="33">
        <v>3105.1121921230797</v>
      </c>
      <c r="AH21" s="55">
        <v>62991000000</v>
      </c>
      <c r="AI21" s="55">
        <v>2456000000</v>
      </c>
      <c r="AJ21" s="62">
        <v>157698400000</v>
      </c>
      <c r="AK21" s="62">
        <v>-23269500000</v>
      </c>
      <c r="AL21" s="33">
        <v>6.6</v>
      </c>
    </row>
    <row r="22" spans="1:38" ht="16">
      <c r="B22" s="38"/>
      <c r="C22" s="34"/>
      <c r="D22" s="53"/>
      <c r="E22" s="1"/>
      <c r="F22" s="1"/>
      <c r="G22" s="1"/>
      <c r="H22" s="52"/>
      <c r="L22" s="39"/>
      <c r="N22" s="1"/>
      <c r="P22" s="35"/>
      <c r="Q22" s="35"/>
      <c r="R22" s="35"/>
      <c r="S22" s="1"/>
      <c r="T22" s="36"/>
      <c r="V22" s="35"/>
      <c r="W22" s="35"/>
      <c r="X22" s="40"/>
      <c r="AA22" s="41"/>
      <c r="AD22" s="42"/>
      <c r="AE22" s="43"/>
      <c r="AF22" s="33"/>
      <c r="AH22" s="34"/>
      <c r="AI22" s="34"/>
      <c r="AL22" s="37"/>
    </row>
    <row r="23" spans="1:38" s="48" customFormat="1" ht="20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46"/>
      <c r="R23" s="44"/>
      <c r="S23" s="44"/>
      <c r="T23" s="44"/>
      <c r="U23" s="45"/>
      <c r="V23" s="47"/>
      <c r="W23" s="45"/>
      <c r="X23" s="44"/>
      <c r="AA23" s="45"/>
      <c r="AE23" s="44"/>
      <c r="AF23" s="49"/>
      <c r="AH23" s="47"/>
      <c r="AI23" s="44"/>
      <c r="AJ23" s="50"/>
      <c r="AK23" s="50"/>
      <c r="AL23" s="44"/>
    </row>
    <row r="24" spans="1:38" s="48" customFormat="1">
      <c r="V24"/>
      <c r="AH24"/>
    </row>
    <row r="25" spans="1:38" s="48" customFormat="1">
      <c r="AH25"/>
    </row>
    <row r="26" spans="1:38" s="48" customFormat="1"/>
    <row r="27" spans="1:38" s="48" customFormat="1"/>
    <row r="28" spans="1:38" s="48" customFormat="1"/>
    <row r="29" spans="1:38" s="48" customFormat="1"/>
    <row r="30" spans="1:38" s="48" customFormat="1"/>
    <row r="31" spans="1:38" s="48" customFormat="1"/>
    <row r="32" spans="1:38" s="48" customFormat="1"/>
    <row r="33" spans="5:5" s="48" customFormat="1"/>
    <row r="34" spans="5:5" s="48" customFormat="1"/>
    <row r="35" spans="5:5" s="48" customFormat="1"/>
    <row r="36" spans="5:5" s="48" customFormat="1"/>
    <row r="37" spans="5:5" s="48" customFormat="1"/>
    <row r="38" spans="5:5" s="48" customFormat="1"/>
    <row r="39" spans="5:5" s="48" customFormat="1"/>
    <row r="42" spans="5:5">
      <c r="E42" s="1"/>
    </row>
    <row r="43" spans="5:5">
      <c r="E43" s="51"/>
    </row>
  </sheetData>
  <phoneticPr fontId="24" type="noConversion"/>
  <pageMargins left="0.70000000000000007" right="0.70000000000000007" top="0.75" bottom="0.75" header="0.30000000000000004" footer="0.3000000000000000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A119-AC21-4DE9-B40A-E835460E2E91}">
  <dimension ref="A1:AA63"/>
  <sheetViews>
    <sheetView topLeftCell="C1" workbookViewId="0">
      <selection activeCell="W20" sqref="W20"/>
    </sheetView>
  </sheetViews>
  <sheetFormatPr baseColWidth="10" defaultColWidth="8.83203125" defaultRowHeight="15"/>
  <cols>
    <col min="1" max="1" width="43.83203125" customWidth="1"/>
  </cols>
  <sheetData>
    <row r="1" spans="1:27" ht="16" thickBot="1">
      <c r="A1" s="3" t="s">
        <v>1</v>
      </c>
      <c r="B1" s="4" t="s">
        <v>2</v>
      </c>
      <c r="C1" s="5">
        <v>1999</v>
      </c>
      <c r="D1" s="6">
        <v>2000</v>
      </c>
      <c r="E1" s="6">
        <v>2001</v>
      </c>
      <c r="F1" s="6">
        <v>2002</v>
      </c>
      <c r="G1" s="6">
        <v>2003</v>
      </c>
      <c r="H1" s="6">
        <v>2004</v>
      </c>
      <c r="I1" s="6">
        <v>2005</v>
      </c>
      <c r="J1" s="6">
        <v>2006</v>
      </c>
      <c r="K1" s="6">
        <v>2007</v>
      </c>
      <c r="L1" s="6">
        <v>2008</v>
      </c>
      <c r="M1" s="6">
        <v>2009</v>
      </c>
      <c r="N1" s="6">
        <v>2010</v>
      </c>
      <c r="O1" s="6">
        <v>2011</v>
      </c>
      <c r="P1" s="6">
        <v>2012</v>
      </c>
      <c r="Q1" s="6">
        <v>2013</v>
      </c>
      <c r="R1" s="6">
        <v>2014</v>
      </c>
      <c r="S1" s="6">
        <v>2015</v>
      </c>
      <c r="T1" s="6">
        <v>2016</v>
      </c>
      <c r="U1" s="6">
        <v>2017</v>
      </c>
      <c r="V1" s="7">
        <v>2018</v>
      </c>
      <c r="W1" s="7">
        <v>2019</v>
      </c>
      <c r="X1" s="7">
        <v>2020</v>
      </c>
      <c r="Y1" s="7">
        <v>2021</v>
      </c>
      <c r="Z1" s="7">
        <v>2022</v>
      </c>
      <c r="AA1" s="7">
        <v>2023</v>
      </c>
    </row>
    <row r="2" spans="1:27">
      <c r="A2" s="23" t="s">
        <v>3</v>
      </c>
      <c r="B2" s="8" t="s">
        <v>4</v>
      </c>
      <c r="C2" s="17">
        <v>5466</v>
      </c>
      <c r="D2" s="17">
        <v>6984</v>
      </c>
      <c r="E2" s="17">
        <v>8262</v>
      </c>
      <c r="F2" s="17">
        <v>7530</v>
      </c>
      <c r="G2" s="17">
        <v>8403</v>
      </c>
      <c r="H2" s="17">
        <v>9545</v>
      </c>
      <c r="I2" s="17">
        <v>9527</v>
      </c>
      <c r="J2" s="17">
        <v>10935</v>
      </c>
      <c r="K2" s="17">
        <v>11168</v>
      </c>
      <c r="L2" s="17">
        <v>11583</v>
      </c>
      <c r="M2" s="17">
        <v>11322</v>
      </c>
      <c r="N2" s="17">
        <v>11215</v>
      </c>
      <c r="O2" s="17">
        <v>12246</v>
      </c>
      <c r="P2" s="17">
        <v>12824</v>
      </c>
      <c r="Q2" s="17">
        <v>12570</v>
      </c>
      <c r="R2" s="17">
        <v>12779</v>
      </c>
      <c r="S2" s="17">
        <v>12931</v>
      </c>
      <c r="T2" s="17">
        <v>13864</v>
      </c>
      <c r="U2" s="17">
        <v>14161</v>
      </c>
      <c r="V2" s="17">
        <v>12821</v>
      </c>
      <c r="W2" s="17">
        <v>13864</v>
      </c>
      <c r="X2" s="17">
        <v>14103</v>
      </c>
      <c r="Y2" s="17">
        <v>15706</v>
      </c>
      <c r="Z2" s="17">
        <v>20320</v>
      </c>
      <c r="AA2" s="18">
        <v>25571</v>
      </c>
    </row>
    <row r="3" spans="1:27" hidden="1">
      <c r="A3" s="2" t="s">
        <v>5</v>
      </c>
      <c r="B3" s="9" t="s">
        <v>4</v>
      </c>
      <c r="C3" s="10">
        <v>2253</v>
      </c>
      <c r="D3" s="10">
        <v>3499</v>
      </c>
      <c r="E3" s="10">
        <v>4422</v>
      </c>
      <c r="F3" s="10">
        <v>3651</v>
      </c>
      <c r="G3" s="10">
        <v>4287</v>
      </c>
      <c r="H3" s="10">
        <v>5073</v>
      </c>
      <c r="I3" s="10">
        <v>5031</v>
      </c>
      <c r="J3" s="10">
        <v>5125</v>
      </c>
      <c r="K3" s="10">
        <v>4790</v>
      </c>
      <c r="L3" s="10">
        <v>4804</v>
      </c>
      <c r="M3" s="10">
        <v>3768</v>
      </c>
      <c r="N3" s="10">
        <v>3119</v>
      </c>
      <c r="O3" s="10">
        <v>3854</v>
      </c>
      <c r="P3" s="10">
        <v>4217</v>
      </c>
      <c r="Q3" s="10">
        <v>3544</v>
      </c>
      <c r="R3" s="10">
        <v>3162</v>
      </c>
      <c r="S3" s="10">
        <v>3144</v>
      </c>
      <c r="T3" s="10">
        <v>3324</v>
      </c>
      <c r="U3" s="10">
        <v>2517</v>
      </c>
      <c r="V3" s="10">
        <v>1309</v>
      </c>
      <c r="W3" s="10">
        <v>1296</v>
      </c>
      <c r="X3" s="10">
        <v>1202</v>
      </c>
      <c r="Y3" s="10">
        <v>1519</v>
      </c>
      <c r="Z3" s="10">
        <v>2202</v>
      </c>
      <c r="AA3" s="11">
        <v>2719</v>
      </c>
    </row>
    <row r="4" spans="1:27" hidden="1">
      <c r="A4" s="2" t="s">
        <v>6</v>
      </c>
      <c r="B4" s="9" t="s">
        <v>4</v>
      </c>
      <c r="C4" s="10">
        <v>3213</v>
      </c>
      <c r="D4" s="10">
        <v>3485</v>
      </c>
      <c r="E4" s="10">
        <v>3840</v>
      </c>
      <c r="F4" s="10">
        <v>3879</v>
      </c>
      <c r="G4" s="10">
        <v>4116</v>
      </c>
      <c r="H4" s="10">
        <v>4472</v>
      </c>
      <c r="I4" s="10">
        <v>4497</v>
      </c>
      <c r="J4" s="10">
        <v>5810</v>
      </c>
      <c r="K4" s="10">
        <v>6378</v>
      </c>
      <c r="L4" s="10">
        <v>6779</v>
      </c>
      <c r="M4" s="10">
        <v>7554</v>
      </c>
      <c r="N4" s="10">
        <v>8096</v>
      </c>
      <c r="O4" s="10">
        <v>8392</v>
      </c>
      <c r="P4" s="10">
        <v>8607</v>
      </c>
      <c r="Q4" s="10">
        <v>9026</v>
      </c>
      <c r="R4" s="10">
        <v>9617</v>
      </c>
      <c r="S4" s="10">
        <v>9787</v>
      </c>
      <c r="T4" s="10">
        <v>10540</v>
      </c>
      <c r="U4" s="10">
        <v>11644</v>
      </c>
      <c r="V4" s="10">
        <v>11512</v>
      </c>
      <c r="W4" s="10">
        <v>12568</v>
      </c>
      <c r="X4" s="10">
        <v>12901</v>
      </c>
      <c r="Y4" s="10">
        <v>14187</v>
      </c>
      <c r="Z4" s="10">
        <v>18118</v>
      </c>
      <c r="AA4" s="11">
        <v>22852</v>
      </c>
    </row>
    <row r="5" spans="1:27">
      <c r="A5" s="2" t="s">
        <v>7</v>
      </c>
      <c r="B5" s="9" t="s">
        <v>4</v>
      </c>
      <c r="C5" s="15">
        <v>159</v>
      </c>
      <c r="D5" s="15">
        <v>163</v>
      </c>
      <c r="E5" s="15">
        <v>156</v>
      </c>
      <c r="F5" s="15">
        <v>99</v>
      </c>
      <c r="G5" s="15">
        <v>88</v>
      </c>
      <c r="H5" s="15">
        <v>90</v>
      </c>
      <c r="I5" s="15">
        <v>88</v>
      </c>
      <c r="J5" s="15">
        <v>832</v>
      </c>
      <c r="K5" s="15">
        <v>880</v>
      </c>
      <c r="L5" s="10">
        <v>1038</v>
      </c>
      <c r="M5" s="10">
        <v>1041</v>
      </c>
      <c r="N5" s="10">
        <v>1173</v>
      </c>
      <c r="O5" s="10">
        <v>1041</v>
      </c>
      <c r="P5" s="10">
        <v>1000</v>
      </c>
      <c r="Q5" s="15">
        <v>990</v>
      </c>
      <c r="R5" s="10">
        <v>1083</v>
      </c>
      <c r="S5" s="10">
        <v>1047</v>
      </c>
      <c r="T5" s="10">
        <v>1153</v>
      </c>
      <c r="U5" s="10">
        <v>1321</v>
      </c>
      <c r="V5" s="10">
        <v>1561</v>
      </c>
      <c r="W5" s="10">
        <v>1615</v>
      </c>
      <c r="X5" s="10">
        <v>1472</v>
      </c>
      <c r="Y5" s="10">
        <v>1658</v>
      </c>
      <c r="Z5" s="10">
        <v>1896</v>
      </c>
      <c r="AA5" s="11">
        <v>1953</v>
      </c>
    </row>
    <row r="6" spans="1:27" s="21" customFormat="1">
      <c r="A6" s="12" t="s">
        <v>34</v>
      </c>
      <c r="B6" s="20"/>
      <c r="C6" s="13">
        <f t="shared" ref="C6:V6" si="0">SUM(C2:C5)</f>
        <v>11091</v>
      </c>
      <c r="D6" s="13">
        <f t="shared" si="0"/>
        <v>14131</v>
      </c>
      <c r="E6" s="13">
        <f t="shared" si="0"/>
        <v>16680</v>
      </c>
      <c r="F6" s="13">
        <f t="shared" si="0"/>
        <v>15159</v>
      </c>
      <c r="G6" s="13">
        <f t="shared" si="0"/>
        <v>16894</v>
      </c>
      <c r="H6" s="13">
        <f t="shared" si="0"/>
        <v>19180</v>
      </c>
      <c r="I6" s="13">
        <f t="shared" si="0"/>
        <v>19143</v>
      </c>
      <c r="J6" s="13">
        <f t="shared" si="0"/>
        <v>22702</v>
      </c>
      <c r="K6" s="13">
        <f t="shared" si="0"/>
        <v>23216</v>
      </c>
      <c r="L6" s="13">
        <f t="shared" si="0"/>
        <v>24204</v>
      </c>
      <c r="M6" s="13">
        <f t="shared" si="0"/>
        <v>23685</v>
      </c>
      <c r="N6" s="13">
        <f t="shared" si="0"/>
        <v>23603</v>
      </c>
      <c r="O6" s="13">
        <f t="shared" si="0"/>
        <v>25533</v>
      </c>
      <c r="P6" s="13">
        <f t="shared" si="0"/>
        <v>26648</v>
      </c>
      <c r="Q6" s="13">
        <f t="shared" si="0"/>
        <v>26130</v>
      </c>
      <c r="R6" s="13">
        <f t="shared" si="0"/>
        <v>26641</v>
      </c>
      <c r="S6" s="13">
        <f t="shared" si="0"/>
        <v>26909</v>
      </c>
      <c r="T6" s="13">
        <f t="shared" si="0"/>
        <v>28881</v>
      </c>
      <c r="U6" s="13">
        <f t="shared" si="0"/>
        <v>29643</v>
      </c>
      <c r="V6" s="13">
        <f t="shared" si="0"/>
        <v>27203</v>
      </c>
      <c r="W6" s="13">
        <f>SUM(W2:W5)</f>
        <v>29343</v>
      </c>
      <c r="X6" s="13">
        <f>SUM(X2:X5)</f>
        <v>29678</v>
      </c>
      <c r="Y6" s="13">
        <f>SUM(Y2:Y5)</f>
        <v>33070</v>
      </c>
      <c r="Z6" s="13">
        <f>SUM(Z2:Z5)</f>
        <v>42536</v>
      </c>
      <c r="AA6" s="14">
        <f>SUM(AA2:AA5)</f>
        <v>53095</v>
      </c>
    </row>
    <row r="7" spans="1:27">
      <c r="A7" s="12"/>
      <c r="B7" s="9"/>
      <c r="C7" s="10"/>
      <c r="D7" s="15"/>
      <c r="E7" s="15"/>
      <c r="F7" s="15"/>
      <c r="G7" s="15"/>
      <c r="H7" s="15"/>
      <c r="I7" s="15"/>
      <c r="J7" s="15"/>
      <c r="K7" s="15"/>
      <c r="L7" s="10"/>
      <c r="M7" s="10"/>
      <c r="N7" s="10"/>
      <c r="O7" s="10"/>
      <c r="P7" s="10"/>
      <c r="Q7" s="15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2" t="s">
        <v>8</v>
      </c>
      <c r="B8" s="9" t="s">
        <v>4</v>
      </c>
      <c r="C8" s="10">
        <v>22043</v>
      </c>
      <c r="D8" s="10">
        <v>24171</v>
      </c>
      <c r="E8" s="10">
        <v>26934</v>
      </c>
      <c r="F8" s="10">
        <v>27654</v>
      </c>
      <c r="G8" s="10">
        <v>29260</v>
      </c>
      <c r="H8" s="10">
        <v>31725</v>
      </c>
      <c r="I8" s="10">
        <v>32331</v>
      </c>
      <c r="J8" s="10">
        <v>35268</v>
      </c>
      <c r="K8" s="10">
        <v>39473</v>
      </c>
      <c r="L8" s="10">
        <v>43521</v>
      </c>
      <c r="M8" s="10">
        <v>43498</v>
      </c>
      <c r="N8" s="10">
        <v>43620</v>
      </c>
      <c r="O8" s="10">
        <v>45848</v>
      </c>
      <c r="P8" s="10">
        <v>47855</v>
      </c>
      <c r="Q8" s="10">
        <v>51787</v>
      </c>
      <c r="R8" s="10">
        <v>54144</v>
      </c>
      <c r="S8" s="10">
        <v>54758</v>
      </c>
      <c r="T8" s="10">
        <v>55429</v>
      </c>
      <c r="U8" s="10">
        <v>55984</v>
      </c>
      <c r="V8" s="10">
        <v>56630</v>
      </c>
      <c r="W8" s="10">
        <v>53874</v>
      </c>
      <c r="X8" s="10">
        <v>48552</v>
      </c>
      <c r="Y8" s="10">
        <v>56013</v>
      </c>
      <c r="Z8" s="10">
        <v>67453</v>
      </c>
      <c r="AA8" s="11">
        <v>73259</v>
      </c>
    </row>
    <row r="9" spans="1:27" hidden="1">
      <c r="A9" s="2" t="s">
        <v>9</v>
      </c>
      <c r="B9" s="9" t="s">
        <v>4</v>
      </c>
      <c r="C9" s="15">
        <v>546</v>
      </c>
      <c r="D9" s="15">
        <v>840</v>
      </c>
      <c r="E9" s="10">
        <v>1436</v>
      </c>
      <c r="F9" s="10">
        <v>1271</v>
      </c>
      <c r="G9" s="10">
        <v>1359</v>
      </c>
      <c r="H9" s="10">
        <v>1624</v>
      </c>
      <c r="I9" s="10">
        <v>1327</v>
      </c>
      <c r="J9" s="10">
        <v>1308</v>
      </c>
      <c r="K9" s="10">
        <v>1186</v>
      </c>
      <c r="L9" s="10">
        <v>1149</v>
      </c>
      <c r="M9" s="15">
        <v>897</v>
      </c>
      <c r="N9" s="15">
        <v>737</v>
      </c>
      <c r="O9" s="15">
        <v>877</v>
      </c>
      <c r="P9" s="15">
        <v>958</v>
      </c>
      <c r="Q9" s="15">
        <v>810</v>
      </c>
      <c r="R9" s="10">
        <v>1165</v>
      </c>
      <c r="S9" s="10">
        <v>1200</v>
      </c>
      <c r="T9" s="10">
        <v>1281</v>
      </c>
      <c r="U9" s="10">
        <v>1221</v>
      </c>
      <c r="V9" s="15">
        <v>713</v>
      </c>
      <c r="W9" s="15">
        <v>756</v>
      </c>
      <c r="X9" s="15">
        <v>710</v>
      </c>
      <c r="Y9" s="15">
        <v>895</v>
      </c>
      <c r="Z9" s="10">
        <v>1319</v>
      </c>
      <c r="AA9" s="11">
        <v>1632</v>
      </c>
    </row>
    <row r="10" spans="1:27" hidden="1">
      <c r="A10" s="2" t="s">
        <v>10</v>
      </c>
      <c r="B10" s="9" t="s">
        <v>4</v>
      </c>
      <c r="C10" s="10">
        <v>3948</v>
      </c>
      <c r="D10" s="10">
        <v>4223</v>
      </c>
      <c r="E10" s="10">
        <v>4672</v>
      </c>
      <c r="F10" s="10">
        <v>5124</v>
      </c>
      <c r="G10" s="10">
        <v>6345</v>
      </c>
      <c r="H10" s="10">
        <v>7231</v>
      </c>
      <c r="I10" s="10">
        <v>8307</v>
      </c>
      <c r="J10" s="10">
        <v>9985</v>
      </c>
      <c r="K10" s="10">
        <v>11979</v>
      </c>
      <c r="L10" s="10">
        <v>14350</v>
      </c>
      <c r="M10" s="10">
        <v>14195</v>
      </c>
      <c r="N10" s="10">
        <v>14630</v>
      </c>
      <c r="O10" s="10">
        <v>15204</v>
      </c>
      <c r="P10" s="10">
        <v>17295</v>
      </c>
      <c r="Q10" s="10">
        <v>18253</v>
      </c>
      <c r="R10" s="10">
        <v>18730</v>
      </c>
      <c r="S10" s="10">
        <v>18687</v>
      </c>
      <c r="T10" s="10">
        <v>19256</v>
      </c>
      <c r="U10" s="10">
        <v>19511</v>
      </c>
      <c r="V10" s="10">
        <v>19894</v>
      </c>
      <c r="W10" s="10">
        <v>19685</v>
      </c>
      <c r="X10" s="10">
        <v>19172</v>
      </c>
      <c r="Y10" s="10">
        <v>21406</v>
      </c>
      <c r="Z10" s="10">
        <v>27625</v>
      </c>
      <c r="AA10" s="11">
        <v>31249</v>
      </c>
    </row>
    <row r="11" spans="1:27" hidden="1">
      <c r="A11" s="2" t="s">
        <v>11</v>
      </c>
      <c r="B11" s="9" t="s">
        <v>4</v>
      </c>
      <c r="C11" s="10">
        <v>11383</v>
      </c>
      <c r="D11" s="10">
        <v>12367</v>
      </c>
      <c r="E11" s="10">
        <v>13294</v>
      </c>
      <c r="F11" s="10">
        <v>12609</v>
      </c>
      <c r="G11" s="10">
        <v>12207</v>
      </c>
      <c r="H11" s="10">
        <v>12279</v>
      </c>
      <c r="I11" s="10">
        <v>11509</v>
      </c>
      <c r="J11" s="10">
        <v>13204</v>
      </c>
      <c r="K11" s="10">
        <v>14862</v>
      </c>
      <c r="L11" s="10">
        <v>14131</v>
      </c>
      <c r="M11" s="10">
        <v>14407</v>
      </c>
      <c r="N11" s="10">
        <v>13831</v>
      </c>
      <c r="O11" s="10">
        <v>14402</v>
      </c>
      <c r="P11" s="10">
        <v>14529</v>
      </c>
      <c r="Q11" s="10">
        <v>15517</v>
      </c>
      <c r="R11" s="10">
        <v>16315</v>
      </c>
      <c r="S11" s="10">
        <v>17110</v>
      </c>
      <c r="T11" s="10">
        <v>16476</v>
      </c>
      <c r="U11" s="10">
        <v>16410</v>
      </c>
      <c r="V11" s="10">
        <v>16278</v>
      </c>
      <c r="W11" s="10">
        <v>13676</v>
      </c>
      <c r="X11" s="10">
        <v>10920</v>
      </c>
      <c r="Y11" s="10">
        <v>12824</v>
      </c>
      <c r="Z11" s="10">
        <v>14466</v>
      </c>
      <c r="AA11" s="11">
        <v>13580</v>
      </c>
    </row>
    <row r="12" spans="1:27" hidden="1">
      <c r="A12" s="2" t="s">
        <v>12</v>
      </c>
      <c r="B12" s="9" t="s">
        <v>4</v>
      </c>
      <c r="C12" s="10">
        <v>6166</v>
      </c>
      <c r="D12" s="10">
        <v>6741</v>
      </c>
      <c r="E12" s="10">
        <v>7532</v>
      </c>
      <c r="F12" s="10">
        <v>8650</v>
      </c>
      <c r="G12" s="10">
        <v>9349</v>
      </c>
      <c r="H12" s="10">
        <v>10591</v>
      </c>
      <c r="I12" s="10">
        <v>11188</v>
      </c>
      <c r="J12" s="10">
        <v>10771</v>
      </c>
      <c r="K12" s="10">
        <v>11446</v>
      </c>
      <c r="L12" s="10">
        <v>13891</v>
      </c>
      <c r="M12" s="10">
        <v>13999</v>
      </c>
      <c r="N12" s="10">
        <v>14422</v>
      </c>
      <c r="O12" s="10">
        <v>15365</v>
      </c>
      <c r="P12" s="10">
        <v>15073</v>
      </c>
      <c r="Q12" s="10">
        <v>17207</v>
      </c>
      <c r="R12" s="10">
        <v>17934</v>
      </c>
      <c r="S12" s="10">
        <v>17761</v>
      </c>
      <c r="T12" s="10">
        <v>18416</v>
      </c>
      <c r="U12" s="10">
        <v>18842</v>
      </c>
      <c r="V12" s="10">
        <v>19745</v>
      </c>
      <c r="W12" s="10">
        <v>19757</v>
      </c>
      <c r="X12" s="10">
        <v>17750</v>
      </c>
      <c r="Y12" s="10">
        <v>20888</v>
      </c>
      <c r="Z12" s="10">
        <v>24043</v>
      </c>
      <c r="AA12" s="11">
        <v>26798</v>
      </c>
    </row>
    <row r="13" spans="1:27">
      <c r="A13" s="2" t="s">
        <v>15</v>
      </c>
      <c r="B13" s="9" t="s">
        <v>4</v>
      </c>
      <c r="C13" s="10">
        <v>5199</v>
      </c>
      <c r="D13" s="10">
        <v>5715</v>
      </c>
      <c r="E13" s="10">
        <v>6272</v>
      </c>
      <c r="F13" s="10">
        <v>6969</v>
      </c>
      <c r="G13" s="10">
        <v>8263</v>
      </c>
      <c r="H13" s="10">
        <v>8840</v>
      </c>
      <c r="I13" s="10">
        <v>9071</v>
      </c>
      <c r="J13" s="10">
        <v>10242</v>
      </c>
      <c r="K13" s="10">
        <v>13502</v>
      </c>
      <c r="L13" s="10">
        <v>16776</v>
      </c>
      <c r="M13" s="10">
        <v>17764</v>
      </c>
      <c r="N13" s="10">
        <v>18551</v>
      </c>
      <c r="O13" s="10">
        <v>18927</v>
      </c>
      <c r="P13" s="10">
        <v>19043</v>
      </c>
      <c r="Q13" s="10">
        <v>17923</v>
      </c>
      <c r="R13" s="10">
        <v>16882</v>
      </c>
      <c r="S13" s="10">
        <v>16505</v>
      </c>
      <c r="T13" s="10">
        <v>16764</v>
      </c>
      <c r="U13" s="10">
        <v>18451</v>
      </c>
      <c r="V13" s="10">
        <v>21185</v>
      </c>
      <c r="W13" s="10">
        <v>22817</v>
      </c>
      <c r="X13" s="10">
        <v>17033</v>
      </c>
      <c r="Y13" s="10">
        <v>22419</v>
      </c>
      <c r="Z13" s="10">
        <v>25926</v>
      </c>
      <c r="AA13" s="11">
        <v>32325</v>
      </c>
    </row>
    <row r="14" spans="1:27">
      <c r="A14" s="2" t="s">
        <v>13</v>
      </c>
      <c r="B14" s="9" t="s">
        <v>4</v>
      </c>
      <c r="C14" s="10">
        <v>1368</v>
      </c>
      <c r="D14" s="10">
        <v>1760</v>
      </c>
      <c r="E14" s="10">
        <v>2578</v>
      </c>
      <c r="F14" s="10">
        <v>2947</v>
      </c>
      <c r="G14" s="10">
        <v>3368</v>
      </c>
      <c r="H14" s="10">
        <v>3505</v>
      </c>
      <c r="I14" s="10">
        <v>3228</v>
      </c>
      <c r="J14" s="10">
        <v>2528</v>
      </c>
      <c r="K14" s="10">
        <v>2758</v>
      </c>
      <c r="L14" s="10">
        <v>4136</v>
      </c>
      <c r="M14" s="10">
        <v>4980</v>
      </c>
      <c r="N14" s="10">
        <v>4939</v>
      </c>
      <c r="O14" s="10">
        <v>4706</v>
      </c>
      <c r="P14" s="10">
        <v>4306</v>
      </c>
      <c r="Q14" s="10">
        <v>4722</v>
      </c>
      <c r="R14" s="10">
        <v>5503</v>
      </c>
      <c r="S14" s="10">
        <v>7063</v>
      </c>
      <c r="T14" s="10">
        <v>8390</v>
      </c>
      <c r="U14" s="10">
        <v>6739</v>
      </c>
      <c r="V14" s="10">
        <v>7001</v>
      </c>
      <c r="W14" s="10">
        <v>6666</v>
      </c>
      <c r="X14" s="10">
        <v>6093</v>
      </c>
      <c r="Y14" s="10">
        <v>5609</v>
      </c>
      <c r="Z14" s="10">
        <v>6310</v>
      </c>
      <c r="AA14" s="11">
        <v>7538</v>
      </c>
    </row>
    <row r="15" spans="1:27" ht="26">
      <c r="A15" s="19" t="s">
        <v>14</v>
      </c>
      <c r="B15" s="9" t="s">
        <v>4</v>
      </c>
      <c r="C15" s="15"/>
      <c r="D15" s="15"/>
      <c r="E15" s="15"/>
      <c r="F15" s="15"/>
      <c r="G15" s="15"/>
      <c r="H15" s="15"/>
      <c r="I15" s="15"/>
      <c r="J15" s="15">
        <v>911</v>
      </c>
      <c r="K15" s="15">
        <v>925</v>
      </c>
      <c r="L15" s="15">
        <v>867</v>
      </c>
      <c r="M15" s="15">
        <v>841</v>
      </c>
      <c r="N15" s="15">
        <v>921</v>
      </c>
      <c r="O15" s="15">
        <v>897</v>
      </c>
      <c r="P15" s="10">
        <v>1220</v>
      </c>
      <c r="Q15" s="10">
        <v>1294</v>
      </c>
      <c r="R15" s="10">
        <v>1329</v>
      </c>
      <c r="S15" s="10">
        <v>1418</v>
      </c>
      <c r="T15" s="10">
        <v>1452</v>
      </c>
      <c r="U15" s="10">
        <v>1498</v>
      </c>
      <c r="V15" s="10">
        <v>1629</v>
      </c>
      <c r="W15" s="10">
        <v>1630</v>
      </c>
      <c r="X15" s="10">
        <v>1549</v>
      </c>
      <c r="Y15" s="10">
        <v>1631</v>
      </c>
      <c r="Z15" s="10">
        <v>1675</v>
      </c>
      <c r="AA15" s="11">
        <v>1803</v>
      </c>
    </row>
    <row r="16" spans="1:27" s="21" customFormat="1">
      <c r="A16" s="21" t="s">
        <v>35</v>
      </c>
      <c r="C16" s="22">
        <f>SUM(C8:C15)</f>
        <v>50653</v>
      </c>
      <c r="D16" s="22">
        <f>SUM(D8:D15)</f>
        <v>55817</v>
      </c>
      <c r="E16" s="22">
        <f>SUM(E8:E15)</f>
        <v>62718</v>
      </c>
      <c r="F16" s="22">
        <f>SUM(F8:F14)</f>
        <v>65224</v>
      </c>
      <c r="G16" s="22">
        <f>SUM(G8:G14)</f>
        <v>70151</v>
      </c>
      <c r="H16" s="22">
        <f>SUM(H8:H14)</f>
        <v>75795</v>
      </c>
      <c r="I16" s="22">
        <f>SUM(I8:I14)</f>
        <v>76961</v>
      </c>
      <c r="J16" s="22">
        <f t="shared" ref="J16:AA16" si="1">SUM(J8:J15)</f>
        <v>84217</v>
      </c>
      <c r="K16" s="22">
        <f t="shared" si="1"/>
        <v>96131</v>
      </c>
      <c r="L16" s="22">
        <f t="shared" si="1"/>
        <v>108821</v>
      </c>
      <c r="M16" s="22">
        <f t="shared" si="1"/>
        <v>110581</v>
      </c>
      <c r="N16" s="22">
        <f t="shared" si="1"/>
        <v>111651</v>
      </c>
      <c r="O16" s="22">
        <f t="shared" si="1"/>
        <v>116226</v>
      </c>
      <c r="P16" s="22">
        <f t="shared" si="1"/>
        <v>120279</v>
      </c>
      <c r="Q16" s="22">
        <f t="shared" si="1"/>
        <v>127513</v>
      </c>
      <c r="R16" s="22">
        <f t="shared" si="1"/>
        <v>132002</v>
      </c>
      <c r="S16" s="22">
        <f t="shared" si="1"/>
        <v>134502</v>
      </c>
      <c r="T16" s="22">
        <f t="shared" si="1"/>
        <v>137464</v>
      </c>
      <c r="U16" s="22">
        <f t="shared" si="1"/>
        <v>138656</v>
      </c>
      <c r="V16" s="22">
        <f t="shared" si="1"/>
        <v>143075</v>
      </c>
      <c r="W16" s="22">
        <f t="shared" si="1"/>
        <v>138861</v>
      </c>
      <c r="X16" s="22">
        <f t="shared" si="1"/>
        <v>121779</v>
      </c>
      <c r="Y16" s="22">
        <f t="shared" si="1"/>
        <v>141685</v>
      </c>
      <c r="Z16" s="22">
        <f t="shared" si="1"/>
        <v>168817</v>
      </c>
      <c r="AA16" s="22">
        <f t="shared" si="1"/>
        <v>188184</v>
      </c>
    </row>
    <row r="18" spans="1:27" ht="26">
      <c r="A18" s="24" t="s">
        <v>16</v>
      </c>
      <c r="B18" s="9" t="s">
        <v>4</v>
      </c>
      <c r="C18" s="10">
        <v>11917</v>
      </c>
      <c r="D18" s="10">
        <v>12317</v>
      </c>
      <c r="E18" s="10">
        <v>13076</v>
      </c>
      <c r="F18" s="10">
        <v>14192</v>
      </c>
      <c r="G18" s="10">
        <v>14801</v>
      </c>
      <c r="H18" s="10">
        <v>17463</v>
      </c>
      <c r="I18" s="10">
        <v>20089</v>
      </c>
      <c r="J18" s="10">
        <v>22610</v>
      </c>
      <c r="K18" s="10">
        <v>25611</v>
      </c>
      <c r="L18" s="10">
        <v>28673</v>
      </c>
      <c r="M18" s="10">
        <v>28405</v>
      </c>
      <c r="N18" s="10">
        <v>30593</v>
      </c>
      <c r="O18" s="10">
        <v>33104</v>
      </c>
      <c r="P18" s="10">
        <v>36219</v>
      </c>
      <c r="Q18" s="10">
        <v>38965</v>
      </c>
      <c r="R18" s="10">
        <v>41598</v>
      </c>
      <c r="S18" s="10">
        <v>43796</v>
      </c>
      <c r="T18" s="10">
        <v>46042</v>
      </c>
      <c r="U18" s="10">
        <v>49206</v>
      </c>
      <c r="V18" s="10">
        <v>52615</v>
      </c>
      <c r="W18" s="10">
        <v>54673</v>
      </c>
      <c r="X18" s="10">
        <v>48931</v>
      </c>
      <c r="Y18" s="10">
        <v>50756</v>
      </c>
      <c r="Z18" s="10">
        <v>57065</v>
      </c>
      <c r="AA18" s="11">
        <v>62951</v>
      </c>
    </row>
    <row r="19" spans="1:27" hidden="1">
      <c r="A19" s="2" t="s">
        <v>17</v>
      </c>
      <c r="B19" s="9" t="s">
        <v>4</v>
      </c>
      <c r="C19" s="10">
        <v>11447</v>
      </c>
      <c r="D19" s="10">
        <v>11767</v>
      </c>
      <c r="E19" s="10">
        <v>12446</v>
      </c>
      <c r="F19" s="10">
        <v>13462</v>
      </c>
      <c r="G19" s="10">
        <v>13851</v>
      </c>
      <c r="H19" s="10">
        <v>16313</v>
      </c>
      <c r="I19" s="10">
        <v>18689</v>
      </c>
      <c r="J19" s="10">
        <v>21360</v>
      </c>
      <c r="K19" s="10">
        <v>24104</v>
      </c>
      <c r="L19" s="10">
        <v>26976</v>
      </c>
      <c r="M19" s="10">
        <v>26623</v>
      </c>
      <c r="N19" s="10">
        <v>28695</v>
      </c>
      <c r="O19" s="10">
        <v>31010</v>
      </c>
      <c r="P19" s="10">
        <v>33967</v>
      </c>
      <c r="Q19" s="10">
        <v>36545</v>
      </c>
      <c r="R19" s="10">
        <v>39233</v>
      </c>
      <c r="S19" s="10">
        <v>41509</v>
      </c>
      <c r="T19" s="10">
        <v>43859</v>
      </c>
      <c r="U19" s="10">
        <v>47061</v>
      </c>
      <c r="V19" s="10">
        <v>50503</v>
      </c>
      <c r="W19" s="10">
        <v>52465</v>
      </c>
      <c r="X19" s="10">
        <v>47053</v>
      </c>
      <c r="Y19" s="10">
        <v>48706</v>
      </c>
      <c r="Z19" s="10">
        <v>54750</v>
      </c>
      <c r="AA19" s="11">
        <v>60374</v>
      </c>
    </row>
    <row r="20" spans="1:27">
      <c r="A20" s="25" t="s">
        <v>18</v>
      </c>
      <c r="B20" s="9" t="s">
        <v>4</v>
      </c>
      <c r="C20" s="10">
        <v>11403</v>
      </c>
      <c r="D20" s="10">
        <v>13608</v>
      </c>
      <c r="E20" s="10">
        <v>15323</v>
      </c>
      <c r="F20" s="10">
        <v>16886</v>
      </c>
      <c r="G20" s="10">
        <v>18437</v>
      </c>
      <c r="H20" s="10">
        <v>19522</v>
      </c>
      <c r="I20" s="10">
        <v>20006</v>
      </c>
      <c r="J20" s="10">
        <v>14160</v>
      </c>
      <c r="K20" s="10">
        <v>15835</v>
      </c>
      <c r="L20" s="10">
        <v>15800</v>
      </c>
      <c r="M20" s="10">
        <v>15737</v>
      </c>
      <c r="N20" s="10">
        <v>16729</v>
      </c>
      <c r="O20" s="10">
        <v>18144</v>
      </c>
      <c r="P20" s="10">
        <v>18656</v>
      </c>
      <c r="Q20" s="10">
        <v>19825</v>
      </c>
      <c r="R20" s="10">
        <v>21449</v>
      </c>
      <c r="S20" s="10">
        <v>23203</v>
      </c>
      <c r="T20" s="10">
        <v>25221</v>
      </c>
      <c r="U20" s="10">
        <v>27142</v>
      </c>
      <c r="V20" s="10">
        <v>28771</v>
      </c>
      <c r="W20" s="10">
        <v>28721</v>
      </c>
      <c r="X20" s="10">
        <v>22180</v>
      </c>
      <c r="Y20" s="10">
        <v>23174</v>
      </c>
      <c r="Z20" s="10">
        <v>25305</v>
      </c>
      <c r="AA20" s="11">
        <v>31200</v>
      </c>
    </row>
    <row r="21" spans="1:27">
      <c r="A21" s="25" t="s">
        <v>19</v>
      </c>
      <c r="B21" s="9" t="s">
        <v>4</v>
      </c>
      <c r="C21" s="10">
        <v>6123</v>
      </c>
      <c r="D21" s="10">
        <v>6383</v>
      </c>
      <c r="E21" s="10">
        <v>8243</v>
      </c>
      <c r="F21" s="10">
        <v>8424</v>
      </c>
      <c r="G21" s="10">
        <v>8984</v>
      </c>
      <c r="H21" s="10">
        <v>10950</v>
      </c>
      <c r="I21" s="10">
        <v>12008</v>
      </c>
      <c r="J21" s="10">
        <v>15016</v>
      </c>
      <c r="K21" s="10">
        <v>18328</v>
      </c>
      <c r="L21" s="10">
        <v>18645</v>
      </c>
      <c r="M21" s="10">
        <v>16731</v>
      </c>
      <c r="N21" s="10">
        <v>18629</v>
      </c>
      <c r="O21" s="10">
        <v>20290</v>
      </c>
      <c r="P21" s="10">
        <v>21197</v>
      </c>
      <c r="Q21" s="10">
        <v>19827</v>
      </c>
      <c r="R21" s="10">
        <v>22002</v>
      </c>
      <c r="S21" s="10">
        <v>24270</v>
      </c>
      <c r="T21" s="10">
        <v>27537</v>
      </c>
      <c r="U21" s="10">
        <v>29784</v>
      </c>
      <c r="V21" s="10">
        <v>31648</v>
      </c>
      <c r="W21" s="10">
        <v>31714</v>
      </c>
      <c r="X21" s="10">
        <v>11633</v>
      </c>
      <c r="Y21" s="10">
        <v>10719</v>
      </c>
      <c r="Z21" s="10">
        <v>31189</v>
      </c>
      <c r="AA21" s="11">
        <v>39257</v>
      </c>
    </row>
    <row r="22" spans="1:27">
      <c r="A22" s="25" t="s">
        <v>20</v>
      </c>
      <c r="B22" s="9" t="s">
        <v>4</v>
      </c>
      <c r="C22" s="15"/>
      <c r="D22" s="15"/>
      <c r="E22" s="15"/>
      <c r="F22" s="15"/>
      <c r="G22" s="15"/>
      <c r="H22" s="15"/>
      <c r="I22" s="15"/>
      <c r="J22" s="10">
        <v>8902</v>
      </c>
      <c r="K22" s="10">
        <v>9965</v>
      </c>
      <c r="L22" s="10">
        <v>11103</v>
      </c>
      <c r="M22" s="10">
        <v>12217</v>
      </c>
      <c r="N22" s="10">
        <v>13352</v>
      </c>
      <c r="O22" s="10">
        <v>13611</v>
      </c>
      <c r="P22" s="10">
        <v>13775</v>
      </c>
      <c r="Q22" s="10">
        <v>14398</v>
      </c>
      <c r="R22" s="10">
        <v>15000</v>
      </c>
      <c r="S22" s="10">
        <v>15950</v>
      </c>
      <c r="T22" s="10">
        <v>16557</v>
      </c>
      <c r="U22" s="10">
        <v>17224</v>
      </c>
      <c r="V22" s="10">
        <v>18154</v>
      </c>
      <c r="W22" s="10">
        <v>19388</v>
      </c>
      <c r="X22" s="10">
        <v>20093</v>
      </c>
      <c r="Y22" s="10">
        <v>21588</v>
      </c>
      <c r="Z22" s="10">
        <v>22494</v>
      </c>
      <c r="AA22" s="11">
        <v>24022</v>
      </c>
    </row>
    <row r="23" spans="1:27">
      <c r="A23" s="25" t="s">
        <v>21</v>
      </c>
      <c r="B23" s="9" t="s">
        <v>4</v>
      </c>
      <c r="C23" s="10">
        <v>7309</v>
      </c>
      <c r="D23" s="10">
        <v>9409</v>
      </c>
      <c r="E23" s="10">
        <v>9594</v>
      </c>
      <c r="F23" s="10">
        <v>10791</v>
      </c>
      <c r="G23" s="10">
        <v>13447</v>
      </c>
      <c r="H23" s="10">
        <v>13786</v>
      </c>
      <c r="I23" s="10">
        <v>15483</v>
      </c>
      <c r="J23" s="10">
        <v>20744</v>
      </c>
      <c r="K23" s="10">
        <v>24964</v>
      </c>
      <c r="L23" s="10">
        <v>28637</v>
      </c>
      <c r="M23" s="10">
        <v>31099</v>
      </c>
      <c r="N23" s="10">
        <v>31777</v>
      </c>
      <c r="O23" s="10">
        <v>34201</v>
      </c>
      <c r="P23" s="10">
        <v>36735</v>
      </c>
      <c r="Q23" s="10">
        <v>39406</v>
      </c>
      <c r="R23" s="10">
        <v>42684</v>
      </c>
      <c r="S23" s="10">
        <v>45129</v>
      </c>
      <c r="T23" s="10">
        <v>48351</v>
      </c>
      <c r="U23" s="10">
        <v>50516</v>
      </c>
      <c r="V23" s="10">
        <v>53478</v>
      </c>
      <c r="W23" s="10">
        <v>55179</v>
      </c>
      <c r="X23" s="10">
        <v>55562</v>
      </c>
      <c r="Y23" s="10">
        <v>58829</v>
      </c>
      <c r="Z23" s="10">
        <v>67711</v>
      </c>
      <c r="AA23" s="11">
        <v>76494</v>
      </c>
    </row>
    <row r="24" spans="1:27" hidden="1">
      <c r="A24" s="2" t="s">
        <v>22</v>
      </c>
      <c r="B24" s="9" t="s">
        <v>4</v>
      </c>
      <c r="C24" s="15"/>
      <c r="D24" s="15"/>
      <c r="E24" s="15"/>
      <c r="F24" s="15"/>
      <c r="G24" s="15"/>
      <c r="H24" s="15"/>
      <c r="I24" s="15"/>
      <c r="J24" s="10">
        <v>11570</v>
      </c>
      <c r="K24" s="10">
        <v>14507</v>
      </c>
      <c r="L24" s="10">
        <v>17317</v>
      </c>
      <c r="M24" s="10">
        <v>18733</v>
      </c>
      <c r="N24" s="10">
        <v>18473</v>
      </c>
      <c r="O24" s="10">
        <v>19800</v>
      </c>
      <c r="P24" s="10">
        <v>21347</v>
      </c>
      <c r="Q24" s="10">
        <v>21755</v>
      </c>
      <c r="R24" s="10">
        <v>23273</v>
      </c>
      <c r="S24" s="10">
        <v>24453</v>
      </c>
      <c r="T24" s="10">
        <v>26367</v>
      </c>
      <c r="U24" s="10">
        <v>28288</v>
      </c>
      <c r="V24" s="10">
        <v>29921</v>
      </c>
      <c r="W24" s="10">
        <v>31497</v>
      </c>
      <c r="X24" s="10">
        <v>29625</v>
      </c>
      <c r="Y24" s="10">
        <v>30218</v>
      </c>
      <c r="Z24" s="10">
        <v>34888</v>
      </c>
      <c r="AA24" s="11">
        <v>40515</v>
      </c>
    </row>
    <row r="25" spans="1:27" hidden="1">
      <c r="A25" s="2" t="s">
        <v>23</v>
      </c>
      <c r="B25" s="9" t="s">
        <v>4</v>
      </c>
      <c r="C25" s="15"/>
      <c r="D25" s="15"/>
      <c r="E25" s="15"/>
      <c r="F25" s="15"/>
      <c r="G25" s="15"/>
      <c r="H25" s="15"/>
      <c r="I25" s="15"/>
      <c r="J25" s="10">
        <v>1185</v>
      </c>
      <c r="K25" s="10">
        <v>1383</v>
      </c>
      <c r="L25" s="10">
        <v>1582</v>
      </c>
      <c r="M25" s="10">
        <v>1729</v>
      </c>
      <c r="N25" s="10">
        <v>1826</v>
      </c>
      <c r="O25" s="10">
        <v>1954</v>
      </c>
      <c r="P25" s="10">
        <v>2123</v>
      </c>
      <c r="Q25" s="10">
        <v>2316</v>
      </c>
      <c r="R25" s="10">
        <v>2504</v>
      </c>
      <c r="S25" s="10">
        <v>2553</v>
      </c>
      <c r="T25" s="10">
        <v>2617</v>
      </c>
      <c r="U25" s="10">
        <v>2739</v>
      </c>
      <c r="V25" s="10">
        <v>2822</v>
      </c>
      <c r="W25" s="10">
        <v>3015</v>
      </c>
      <c r="X25" s="10">
        <v>2779</v>
      </c>
      <c r="Y25" s="10">
        <v>2706</v>
      </c>
      <c r="Z25" s="10">
        <v>3125</v>
      </c>
      <c r="AA25" s="11">
        <v>3906</v>
      </c>
    </row>
    <row r="26" spans="1:27" hidden="1">
      <c r="A26" s="2" t="s">
        <v>24</v>
      </c>
      <c r="B26" s="9" t="s">
        <v>4</v>
      </c>
      <c r="C26" s="15"/>
      <c r="D26" s="15"/>
      <c r="E26" s="15"/>
      <c r="F26" s="15"/>
      <c r="G26" s="15"/>
      <c r="H26" s="15"/>
      <c r="I26" s="15"/>
      <c r="J26" s="10">
        <v>5498</v>
      </c>
      <c r="K26" s="10">
        <v>6126</v>
      </c>
      <c r="L26" s="10">
        <v>6771</v>
      </c>
      <c r="M26" s="10">
        <v>7393</v>
      </c>
      <c r="N26" s="10">
        <v>8135</v>
      </c>
      <c r="O26" s="10">
        <v>8952</v>
      </c>
      <c r="P26" s="10">
        <v>9523</v>
      </c>
      <c r="Q26" s="10">
        <v>10199</v>
      </c>
      <c r="R26" s="10">
        <v>11116</v>
      </c>
      <c r="S26" s="10">
        <v>11830</v>
      </c>
      <c r="T26" s="10">
        <v>12614</v>
      </c>
      <c r="U26" s="10">
        <v>11960</v>
      </c>
      <c r="V26" s="10">
        <v>11317</v>
      </c>
      <c r="W26" s="10">
        <v>9504</v>
      </c>
      <c r="X26" s="10">
        <v>9197</v>
      </c>
      <c r="Y26" s="10">
        <v>9559</v>
      </c>
      <c r="Z26" s="10">
        <v>10558</v>
      </c>
      <c r="AA26" s="11">
        <v>10956</v>
      </c>
    </row>
    <row r="27" spans="1:27" hidden="1">
      <c r="A27" s="2" t="s">
        <v>12</v>
      </c>
      <c r="B27" s="9" t="s">
        <v>4</v>
      </c>
      <c r="C27" s="15"/>
      <c r="D27" s="15"/>
      <c r="E27" s="15"/>
      <c r="F27" s="15"/>
      <c r="G27" s="15"/>
      <c r="H27" s="15"/>
      <c r="I27" s="15"/>
      <c r="J27" s="10">
        <v>2491</v>
      </c>
      <c r="K27" s="10">
        <v>2948</v>
      </c>
      <c r="L27" s="10">
        <v>2967</v>
      </c>
      <c r="M27" s="10">
        <v>3244</v>
      </c>
      <c r="N27" s="10">
        <v>3343</v>
      </c>
      <c r="O27" s="10">
        <v>3495</v>
      </c>
      <c r="P27" s="10">
        <v>3742</v>
      </c>
      <c r="Q27" s="10">
        <v>5136</v>
      </c>
      <c r="R27" s="10">
        <v>5791</v>
      </c>
      <c r="S27" s="10">
        <v>6293</v>
      </c>
      <c r="T27" s="10">
        <v>6753</v>
      </c>
      <c r="U27" s="10">
        <v>7529</v>
      </c>
      <c r="V27" s="10">
        <v>9418</v>
      </c>
      <c r="W27" s="10">
        <v>11163</v>
      </c>
      <c r="X27" s="10">
        <v>13961</v>
      </c>
      <c r="Y27" s="10">
        <v>16346</v>
      </c>
      <c r="Z27" s="10">
        <v>19140</v>
      </c>
      <c r="AA27" s="11">
        <v>21117</v>
      </c>
    </row>
    <row r="28" spans="1:27">
      <c r="A28" s="25" t="s">
        <v>25</v>
      </c>
      <c r="B28" s="9" t="s">
        <v>4</v>
      </c>
      <c r="C28" s="10">
        <v>8206</v>
      </c>
      <c r="D28" s="10">
        <v>9011</v>
      </c>
      <c r="E28" s="10">
        <v>10217</v>
      </c>
      <c r="F28" s="10">
        <v>11348</v>
      </c>
      <c r="G28" s="10">
        <v>13296</v>
      </c>
      <c r="H28" s="10">
        <v>15003</v>
      </c>
      <c r="I28" s="10">
        <v>16472</v>
      </c>
      <c r="J28" s="10">
        <v>13864</v>
      </c>
      <c r="K28" s="10">
        <v>16136</v>
      </c>
      <c r="L28" s="10">
        <v>17520</v>
      </c>
      <c r="M28" s="10">
        <v>16888</v>
      </c>
      <c r="N28" s="10">
        <v>17652</v>
      </c>
      <c r="O28" s="10">
        <v>18235</v>
      </c>
      <c r="P28" s="10">
        <v>18802</v>
      </c>
      <c r="Q28" s="10">
        <v>20042</v>
      </c>
      <c r="R28" s="10">
        <v>21169</v>
      </c>
      <c r="S28" s="10">
        <v>21930</v>
      </c>
      <c r="T28" s="10">
        <v>22825</v>
      </c>
      <c r="U28" s="10">
        <v>23924</v>
      </c>
      <c r="V28" s="10">
        <v>24924</v>
      </c>
      <c r="W28" s="10">
        <v>25756</v>
      </c>
      <c r="X28" s="10">
        <v>25357</v>
      </c>
      <c r="Y28" s="10">
        <v>26042</v>
      </c>
      <c r="Z28" s="10">
        <v>27544</v>
      </c>
      <c r="AA28" s="11">
        <v>28607</v>
      </c>
    </row>
    <row r="29" spans="1:27" hidden="1">
      <c r="A29" s="2" t="s">
        <v>26</v>
      </c>
      <c r="B29" s="9" t="s">
        <v>4</v>
      </c>
      <c r="C29" s="15"/>
      <c r="D29" s="15"/>
      <c r="E29" s="15"/>
      <c r="F29" s="15"/>
      <c r="G29" s="15"/>
      <c r="H29" s="15"/>
      <c r="I29" s="15"/>
      <c r="J29" s="10">
        <v>12470</v>
      </c>
      <c r="K29" s="10">
        <v>14493</v>
      </c>
      <c r="L29" s="10">
        <v>15613</v>
      </c>
      <c r="M29" s="10">
        <v>14818</v>
      </c>
      <c r="N29" s="10">
        <v>15378</v>
      </c>
      <c r="O29" s="10">
        <v>15630</v>
      </c>
      <c r="P29" s="10">
        <v>15881</v>
      </c>
      <c r="Q29" s="10">
        <v>16796</v>
      </c>
      <c r="R29" s="10">
        <v>17572</v>
      </c>
      <c r="S29" s="10">
        <v>18026</v>
      </c>
      <c r="T29" s="10">
        <v>18663</v>
      </c>
      <c r="U29" s="10">
        <v>19379</v>
      </c>
      <c r="V29" s="10">
        <v>20026</v>
      </c>
      <c r="W29" s="10">
        <v>20604</v>
      </c>
      <c r="X29" s="10">
        <v>20849</v>
      </c>
      <c r="Y29" s="10">
        <v>21178</v>
      </c>
      <c r="Z29" s="10">
        <v>21923</v>
      </c>
      <c r="AA29" s="11">
        <v>22259</v>
      </c>
    </row>
    <row r="30" spans="1:27">
      <c r="A30" s="25" t="s">
        <v>27</v>
      </c>
      <c r="B30" s="9" t="s">
        <v>4</v>
      </c>
      <c r="C30" s="15"/>
      <c r="D30" s="15"/>
      <c r="E30" s="15"/>
      <c r="F30" s="15"/>
      <c r="G30" s="15"/>
      <c r="H30" s="15"/>
      <c r="I30" s="15"/>
      <c r="J30" s="10">
        <v>5622</v>
      </c>
      <c r="K30" s="10">
        <v>6864</v>
      </c>
      <c r="L30" s="10">
        <v>8534</v>
      </c>
      <c r="M30" s="10">
        <v>9552</v>
      </c>
      <c r="N30" s="10">
        <v>10411</v>
      </c>
      <c r="O30" s="10">
        <v>11851</v>
      </c>
      <c r="P30" s="10">
        <v>13207</v>
      </c>
      <c r="Q30" s="10">
        <v>14624</v>
      </c>
      <c r="R30" s="10">
        <v>16251</v>
      </c>
      <c r="S30" s="10">
        <v>17474</v>
      </c>
      <c r="T30" s="10">
        <v>19048</v>
      </c>
      <c r="U30" s="10">
        <v>21098</v>
      </c>
      <c r="V30" s="10">
        <v>23524</v>
      </c>
      <c r="W30" s="10">
        <v>24839</v>
      </c>
      <c r="X30" s="10">
        <v>21792</v>
      </c>
      <c r="Y30" s="10">
        <v>23838</v>
      </c>
      <c r="Z30" s="10">
        <v>27772</v>
      </c>
      <c r="AA30" s="11">
        <v>30926</v>
      </c>
    </row>
    <row r="31" spans="1:27" ht="18" customHeight="1">
      <c r="A31" s="26" t="s">
        <v>28</v>
      </c>
      <c r="B31" s="9" t="s">
        <v>4</v>
      </c>
      <c r="C31" s="16"/>
      <c r="D31" s="16"/>
      <c r="E31" s="16"/>
      <c r="F31" s="16"/>
      <c r="G31" s="16"/>
      <c r="H31" s="16"/>
      <c r="I31" s="16"/>
      <c r="J31" s="10">
        <v>3720</v>
      </c>
      <c r="K31" s="10">
        <v>4530</v>
      </c>
      <c r="L31" s="10">
        <v>5107</v>
      </c>
      <c r="M31" s="10">
        <v>5508</v>
      </c>
      <c r="N31" s="10">
        <v>6117</v>
      </c>
      <c r="O31" s="10">
        <v>6959</v>
      </c>
      <c r="P31" s="10">
        <v>7820</v>
      </c>
      <c r="Q31" s="10">
        <v>8754</v>
      </c>
      <c r="R31" s="10">
        <v>9700</v>
      </c>
      <c r="S31" s="10">
        <v>10280</v>
      </c>
      <c r="T31" s="10">
        <v>10940</v>
      </c>
      <c r="U31" s="10">
        <v>12063</v>
      </c>
      <c r="V31" s="10">
        <v>12948</v>
      </c>
      <c r="W31" s="10">
        <v>13688</v>
      </c>
      <c r="X31" s="10">
        <v>11245</v>
      </c>
      <c r="Y31" s="10">
        <v>12025</v>
      </c>
      <c r="Z31" s="10">
        <v>13878</v>
      </c>
      <c r="AA31" s="11">
        <v>15459</v>
      </c>
    </row>
    <row r="32" spans="1:27" ht="30" customHeight="1">
      <c r="A32" s="26" t="s">
        <v>29</v>
      </c>
      <c r="B32" s="9" t="s">
        <v>4</v>
      </c>
      <c r="C32" s="10">
        <v>6095</v>
      </c>
      <c r="D32" s="10">
        <v>6693</v>
      </c>
      <c r="E32" s="10">
        <v>7132</v>
      </c>
      <c r="F32" s="10">
        <v>7764</v>
      </c>
      <c r="G32" s="10">
        <v>8991</v>
      </c>
      <c r="H32" s="10">
        <v>10098</v>
      </c>
      <c r="I32" s="10">
        <v>10908</v>
      </c>
      <c r="J32" s="10">
        <v>11181</v>
      </c>
      <c r="K32" s="10">
        <v>11521</v>
      </c>
      <c r="L32" s="10">
        <v>13212</v>
      </c>
      <c r="M32" s="10">
        <v>14705</v>
      </c>
      <c r="N32" s="10">
        <v>15498</v>
      </c>
      <c r="O32" s="10">
        <v>16483</v>
      </c>
      <c r="P32" s="10">
        <v>17327</v>
      </c>
      <c r="Q32" s="10">
        <v>20385</v>
      </c>
      <c r="R32" s="10">
        <v>21704</v>
      </c>
      <c r="S32" s="10">
        <v>22783</v>
      </c>
      <c r="T32" s="10">
        <v>25092</v>
      </c>
      <c r="U32" s="10">
        <v>25618</v>
      </c>
      <c r="V32" s="10">
        <v>26583</v>
      </c>
      <c r="W32" s="10">
        <v>27485</v>
      </c>
      <c r="X32" s="10">
        <v>28860</v>
      </c>
      <c r="Y32" s="10">
        <v>31282</v>
      </c>
      <c r="Z32" s="10">
        <v>34117</v>
      </c>
      <c r="AA32" s="11">
        <v>35073</v>
      </c>
    </row>
    <row r="33" spans="1:27">
      <c r="A33" s="25" t="s">
        <v>30</v>
      </c>
      <c r="B33" s="9" t="s">
        <v>4</v>
      </c>
      <c r="C33" s="10">
        <v>4122</v>
      </c>
      <c r="D33" s="10">
        <v>4637</v>
      </c>
      <c r="E33" s="10">
        <v>4980</v>
      </c>
      <c r="F33" s="10">
        <v>5462</v>
      </c>
      <c r="G33" s="10">
        <v>6104</v>
      </c>
      <c r="H33" s="10">
        <v>6880</v>
      </c>
      <c r="I33" s="10">
        <v>7537</v>
      </c>
      <c r="J33" s="10">
        <v>8555</v>
      </c>
      <c r="K33" s="10">
        <v>9242</v>
      </c>
      <c r="L33" s="10">
        <v>10544</v>
      </c>
      <c r="M33" s="10">
        <v>11338</v>
      </c>
      <c r="N33" s="10">
        <v>11934</v>
      </c>
      <c r="O33" s="10">
        <v>12837</v>
      </c>
      <c r="P33" s="10">
        <v>13804</v>
      </c>
      <c r="Q33" s="10">
        <v>15767</v>
      </c>
      <c r="R33" s="10">
        <v>16635</v>
      </c>
      <c r="S33" s="10">
        <v>17762</v>
      </c>
      <c r="T33" s="10">
        <v>19088</v>
      </c>
      <c r="U33" s="10">
        <v>19903</v>
      </c>
      <c r="V33" s="10">
        <v>20771</v>
      </c>
      <c r="W33" s="10">
        <v>20833</v>
      </c>
      <c r="X33" s="10">
        <v>20841</v>
      </c>
      <c r="Y33" s="10">
        <v>21846</v>
      </c>
      <c r="Z33" s="10">
        <v>23254</v>
      </c>
      <c r="AA33" s="11">
        <v>24232</v>
      </c>
    </row>
    <row r="34" spans="1:27">
      <c r="A34" s="25" t="s">
        <v>31</v>
      </c>
      <c r="B34" s="9" t="s">
        <v>4</v>
      </c>
      <c r="C34" s="10">
        <v>2728</v>
      </c>
      <c r="D34" s="10">
        <v>2990</v>
      </c>
      <c r="E34" s="10">
        <v>3236</v>
      </c>
      <c r="F34" s="10">
        <v>3680</v>
      </c>
      <c r="G34" s="10">
        <v>4272</v>
      </c>
      <c r="H34" s="10">
        <v>4950</v>
      </c>
      <c r="I34" s="10">
        <v>5433</v>
      </c>
      <c r="J34" s="10">
        <v>6410</v>
      </c>
      <c r="K34" s="10">
        <v>6969</v>
      </c>
      <c r="L34" s="10">
        <v>7871</v>
      </c>
      <c r="M34" s="10">
        <v>8903</v>
      </c>
      <c r="N34" s="10">
        <v>9446</v>
      </c>
      <c r="O34" s="10">
        <v>10269</v>
      </c>
      <c r="P34" s="10">
        <v>11179</v>
      </c>
      <c r="Q34" s="10">
        <v>13140</v>
      </c>
      <c r="R34" s="10">
        <v>14489</v>
      </c>
      <c r="S34" s="10">
        <v>15305</v>
      </c>
      <c r="T34" s="10">
        <v>16653</v>
      </c>
      <c r="U34" s="10">
        <v>18006</v>
      </c>
      <c r="V34" s="10">
        <v>19243</v>
      </c>
      <c r="W34" s="10">
        <v>20305</v>
      </c>
      <c r="X34" s="10">
        <v>20622</v>
      </c>
      <c r="Y34" s="10">
        <v>22540</v>
      </c>
      <c r="Z34" s="10">
        <v>25008</v>
      </c>
      <c r="AA34" s="11">
        <v>25903</v>
      </c>
    </row>
    <row r="35" spans="1:27" ht="22.25" customHeight="1">
      <c r="A35" s="24" t="s">
        <v>32</v>
      </c>
      <c r="B35" s="9" t="s">
        <v>4</v>
      </c>
      <c r="C35" s="19"/>
      <c r="D35" s="19"/>
      <c r="E35" s="19"/>
      <c r="F35" s="19"/>
      <c r="G35" s="19"/>
      <c r="H35" s="19"/>
      <c r="I35" s="19"/>
      <c r="J35" s="10">
        <v>4316</v>
      </c>
      <c r="K35" s="10">
        <v>4915</v>
      </c>
      <c r="L35" s="10">
        <v>6040</v>
      </c>
      <c r="M35" s="10">
        <v>6902</v>
      </c>
      <c r="N35" s="10">
        <v>7517</v>
      </c>
      <c r="O35" s="10">
        <v>8539</v>
      </c>
      <c r="P35" s="10">
        <v>9544</v>
      </c>
      <c r="Q35" s="10">
        <v>10766</v>
      </c>
      <c r="R35" s="10">
        <v>11825</v>
      </c>
      <c r="S35" s="10">
        <v>12310</v>
      </c>
      <c r="T35" s="10">
        <v>13067</v>
      </c>
      <c r="U35" s="10">
        <v>14165</v>
      </c>
      <c r="V35" s="10">
        <v>15239</v>
      </c>
      <c r="W35" s="10">
        <v>15761</v>
      </c>
      <c r="X35" s="10">
        <v>13159</v>
      </c>
      <c r="Y35" s="10">
        <v>12257</v>
      </c>
      <c r="Z35" s="10">
        <v>13678</v>
      </c>
      <c r="AA35" s="11">
        <v>15120</v>
      </c>
    </row>
    <row r="36" spans="1:27">
      <c r="A36" s="25" t="s">
        <v>33</v>
      </c>
      <c r="B36" s="9" t="s">
        <v>4</v>
      </c>
      <c r="C36" s="10">
        <v>3127</v>
      </c>
      <c r="D36" s="10">
        <v>3484</v>
      </c>
      <c r="E36" s="10">
        <v>3776</v>
      </c>
      <c r="F36" s="10">
        <v>4250</v>
      </c>
      <c r="G36" s="10">
        <v>4771</v>
      </c>
      <c r="H36" s="10">
        <v>5378</v>
      </c>
      <c r="I36" s="10">
        <v>6035</v>
      </c>
      <c r="J36" s="10">
        <v>2739</v>
      </c>
      <c r="K36" s="10">
        <v>3077</v>
      </c>
      <c r="L36" s="10">
        <v>3446</v>
      </c>
      <c r="M36" s="10">
        <v>3586</v>
      </c>
      <c r="N36" s="10">
        <v>3927</v>
      </c>
      <c r="O36" s="10">
        <v>4428</v>
      </c>
      <c r="P36" s="10">
        <v>4807</v>
      </c>
      <c r="Q36" s="10">
        <v>5189</v>
      </c>
      <c r="R36" s="10">
        <v>5501</v>
      </c>
      <c r="S36" s="10">
        <v>5652</v>
      </c>
      <c r="T36" s="10">
        <v>5865</v>
      </c>
      <c r="U36" s="10">
        <v>6248</v>
      </c>
      <c r="V36" s="10">
        <v>6652</v>
      </c>
      <c r="W36" s="10">
        <v>6910</v>
      </c>
      <c r="X36" s="10">
        <v>5172</v>
      </c>
      <c r="Y36" s="10">
        <v>5552</v>
      </c>
      <c r="Z36" s="10">
        <v>6753</v>
      </c>
      <c r="AA36" s="11">
        <v>7460</v>
      </c>
    </row>
    <row r="37" spans="1:27" s="21" customFormat="1">
      <c r="A37" s="21" t="s">
        <v>36</v>
      </c>
      <c r="C37" s="22">
        <f t="shared" ref="C37:AA37" si="2">SUM(C18:C36)</f>
        <v>72477</v>
      </c>
      <c r="D37" s="22">
        <f t="shared" si="2"/>
        <v>80299</v>
      </c>
      <c r="E37" s="22">
        <f t="shared" si="2"/>
        <v>88023</v>
      </c>
      <c r="F37" s="22">
        <f t="shared" si="2"/>
        <v>96259</v>
      </c>
      <c r="G37" s="22">
        <f t="shared" si="2"/>
        <v>106954</v>
      </c>
      <c r="H37" s="22">
        <f t="shared" si="2"/>
        <v>120343</v>
      </c>
      <c r="I37" s="22">
        <f t="shared" si="2"/>
        <v>132660</v>
      </c>
      <c r="J37" s="22">
        <f t="shared" si="2"/>
        <v>192413</v>
      </c>
      <c r="K37" s="22">
        <f t="shared" si="2"/>
        <v>221518</v>
      </c>
      <c r="L37" s="22">
        <f t="shared" si="2"/>
        <v>246358</v>
      </c>
      <c r="M37" s="22">
        <f t="shared" si="2"/>
        <v>254111</v>
      </c>
      <c r="N37" s="22">
        <f t="shared" si="2"/>
        <v>269432</v>
      </c>
      <c r="O37" s="22">
        <f t="shared" si="2"/>
        <v>289792</v>
      </c>
      <c r="P37" s="22">
        <f t="shared" si="2"/>
        <v>309655</v>
      </c>
      <c r="Q37" s="22">
        <f t="shared" si="2"/>
        <v>333835</v>
      </c>
      <c r="R37" s="22">
        <f t="shared" si="2"/>
        <v>359496</v>
      </c>
      <c r="S37" s="22">
        <f t="shared" si="2"/>
        <v>380508</v>
      </c>
      <c r="T37" s="22">
        <f t="shared" si="2"/>
        <v>407159</v>
      </c>
      <c r="U37" s="22">
        <f t="shared" si="2"/>
        <v>431853</v>
      </c>
      <c r="V37" s="22">
        <f t="shared" si="2"/>
        <v>458557</v>
      </c>
      <c r="W37" s="22">
        <f t="shared" si="2"/>
        <v>473500</v>
      </c>
      <c r="X37" s="22">
        <f t="shared" si="2"/>
        <v>428911</v>
      </c>
      <c r="Y37" s="22">
        <f t="shared" si="2"/>
        <v>449161</v>
      </c>
      <c r="Z37" s="22">
        <f t="shared" si="2"/>
        <v>520152</v>
      </c>
      <c r="AA37" s="22">
        <f t="shared" si="2"/>
        <v>575831</v>
      </c>
    </row>
    <row r="39" spans="1:27">
      <c r="B39" cm="1">
        <f t="array" ref="B39:B63">TRANSPOSE(C16:AA16)</f>
        <v>50653</v>
      </c>
      <c r="C39" cm="1">
        <f t="array" ref="C39:C63">TRANSPOSE(C37:AA37)</f>
        <v>72477</v>
      </c>
    </row>
    <row r="40" spans="1:27">
      <c r="B40">
        <v>55817</v>
      </c>
      <c r="C40">
        <v>80299</v>
      </c>
    </row>
    <row r="41" spans="1:27">
      <c r="B41">
        <v>62718</v>
      </c>
      <c r="C41">
        <v>88023</v>
      </c>
    </row>
    <row r="42" spans="1:27">
      <c r="B42">
        <v>65224</v>
      </c>
      <c r="C42">
        <v>96259</v>
      </c>
    </row>
    <row r="43" spans="1:27">
      <c r="B43">
        <v>70151</v>
      </c>
      <c r="C43">
        <v>106954</v>
      </c>
    </row>
    <row r="44" spans="1:27">
      <c r="B44">
        <v>75795</v>
      </c>
      <c r="C44">
        <v>120343</v>
      </c>
    </row>
    <row r="45" spans="1:27">
      <c r="B45">
        <v>76961</v>
      </c>
      <c r="C45">
        <v>132660</v>
      </c>
    </row>
    <row r="46" spans="1:27">
      <c r="B46">
        <v>84217</v>
      </c>
      <c r="C46">
        <v>192413</v>
      </c>
    </row>
    <row r="47" spans="1:27">
      <c r="B47">
        <v>96131</v>
      </c>
      <c r="C47">
        <v>221518</v>
      </c>
    </row>
    <row r="48" spans="1:27">
      <c r="B48">
        <v>108821</v>
      </c>
      <c r="C48">
        <v>246358</v>
      </c>
    </row>
    <row r="49" spans="2:3">
      <c r="B49">
        <v>110581</v>
      </c>
      <c r="C49">
        <v>254111</v>
      </c>
    </row>
    <row r="50" spans="2:3">
      <c r="B50">
        <v>111651</v>
      </c>
      <c r="C50">
        <v>269432</v>
      </c>
    </row>
    <row r="51" spans="2:3">
      <c r="B51">
        <v>116226</v>
      </c>
      <c r="C51">
        <v>289792</v>
      </c>
    </row>
    <row r="52" spans="2:3">
      <c r="B52">
        <v>120279</v>
      </c>
      <c r="C52">
        <v>309655</v>
      </c>
    </row>
    <row r="53" spans="2:3">
      <c r="B53">
        <v>127513</v>
      </c>
      <c r="C53">
        <v>333835</v>
      </c>
    </row>
    <row r="54" spans="2:3">
      <c r="B54">
        <v>132002</v>
      </c>
      <c r="C54">
        <v>359496</v>
      </c>
    </row>
    <row r="55" spans="2:3">
      <c r="B55">
        <v>134502</v>
      </c>
      <c r="C55">
        <v>380508</v>
      </c>
    </row>
    <row r="56" spans="2:3">
      <c r="B56">
        <v>137464</v>
      </c>
      <c r="C56">
        <v>407159</v>
      </c>
    </row>
    <row r="57" spans="2:3">
      <c r="B57">
        <v>138656</v>
      </c>
      <c r="C57">
        <v>431853</v>
      </c>
    </row>
    <row r="58" spans="2:3">
      <c r="B58">
        <v>143075</v>
      </c>
      <c r="C58">
        <v>458557</v>
      </c>
    </row>
    <row r="59" spans="2:3">
      <c r="B59">
        <v>138861</v>
      </c>
      <c r="C59">
        <v>473500</v>
      </c>
    </row>
    <row r="60" spans="2:3">
      <c r="B60">
        <v>121779</v>
      </c>
      <c r="C60">
        <v>428911</v>
      </c>
    </row>
    <row r="61" spans="2:3">
      <c r="B61">
        <v>141685</v>
      </c>
      <c r="C61">
        <v>449161</v>
      </c>
    </row>
    <row r="62" spans="2:3">
      <c r="B62">
        <v>168817</v>
      </c>
      <c r="C62">
        <v>520152</v>
      </c>
    </row>
    <row r="63" spans="2:3">
      <c r="B63">
        <v>188184</v>
      </c>
      <c r="C63">
        <v>575831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ED22-4733-4046-B8D5-673C3BA1DD0E}">
  <dimension ref="A1:F36"/>
  <sheetViews>
    <sheetView topLeftCell="A4" workbookViewId="0">
      <selection activeCell="E37" sqref="E37"/>
    </sheetView>
  </sheetViews>
  <sheetFormatPr baseColWidth="10" defaultColWidth="8.83203125" defaultRowHeight="11.5" customHeight="1"/>
  <cols>
    <col min="1" max="1" width="41.33203125" customWidth="1"/>
    <col min="4" max="4" width="55.33203125" customWidth="1"/>
  </cols>
  <sheetData>
    <row r="1" spans="1:6" ht="11.5" customHeight="1">
      <c r="A1" s="27" t="s">
        <v>37</v>
      </c>
      <c r="B1" s="28">
        <v>29572</v>
      </c>
      <c r="D1" s="23" t="s">
        <v>3</v>
      </c>
      <c r="E1" s="28">
        <v>29572</v>
      </c>
    </row>
    <row r="2" spans="1:6" ht="11.5" customHeight="1">
      <c r="A2" s="2" t="s">
        <v>5</v>
      </c>
      <c r="B2" s="11">
        <v>2589</v>
      </c>
      <c r="D2" s="2" t="s">
        <v>5</v>
      </c>
      <c r="E2" s="11">
        <v>2589</v>
      </c>
    </row>
    <row r="3" spans="1:6" ht="11.5" customHeight="1">
      <c r="A3" s="2" t="s">
        <v>6</v>
      </c>
      <c r="B3" s="11">
        <v>26983</v>
      </c>
      <c r="D3" s="2" t="s">
        <v>6</v>
      </c>
      <c r="E3" s="11">
        <v>26983</v>
      </c>
    </row>
    <row r="4" spans="1:6" ht="11.5" customHeight="1">
      <c r="A4" s="12" t="s">
        <v>38</v>
      </c>
      <c r="B4" s="14">
        <v>2286</v>
      </c>
      <c r="D4" s="2" t="s">
        <v>7</v>
      </c>
      <c r="E4" s="14">
        <v>2286</v>
      </c>
    </row>
    <row r="5" spans="1:6" ht="11.5" customHeight="1">
      <c r="A5" s="12" t="s">
        <v>39</v>
      </c>
      <c r="B5" s="14">
        <v>77143</v>
      </c>
      <c r="D5" s="12" t="s">
        <v>34</v>
      </c>
      <c r="E5" s="1">
        <f>SUM(E1:E4)</f>
        <v>61430</v>
      </c>
    </row>
    <row r="6" spans="1:6" ht="11.5" customHeight="1">
      <c r="A6" s="2" t="s">
        <v>9</v>
      </c>
      <c r="B6" s="11">
        <v>1582</v>
      </c>
      <c r="D6" s="12"/>
    </row>
    <row r="7" spans="1:6" ht="11.5" customHeight="1">
      <c r="A7" s="2" t="s">
        <v>10</v>
      </c>
      <c r="B7" s="11">
        <v>33055</v>
      </c>
      <c r="D7" s="2" t="s">
        <v>8</v>
      </c>
      <c r="E7" s="14">
        <v>77143</v>
      </c>
    </row>
    <row r="8" spans="1:6" ht="11.5" customHeight="1">
      <c r="A8" s="2" t="s">
        <v>11</v>
      </c>
      <c r="B8" s="11">
        <v>13772</v>
      </c>
      <c r="D8" s="2" t="s">
        <v>9</v>
      </c>
      <c r="E8" s="11">
        <v>1582</v>
      </c>
    </row>
    <row r="9" spans="1:6" ht="11.5" customHeight="1">
      <c r="A9" s="2" t="s">
        <v>12</v>
      </c>
      <c r="B9" s="11">
        <v>28734</v>
      </c>
      <c r="D9" s="2" t="s">
        <v>10</v>
      </c>
      <c r="E9" s="11">
        <v>33055</v>
      </c>
    </row>
    <row r="10" spans="1:6" ht="11.5" customHeight="1">
      <c r="A10" s="12" t="s">
        <v>13</v>
      </c>
      <c r="B10" s="14">
        <v>7962</v>
      </c>
      <c r="D10" s="2" t="s">
        <v>11</v>
      </c>
      <c r="E10" s="11">
        <v>13772</v>
      </c>
    </row>
    <row r="11" spans="1:6" ht="11.5" customHeight="1">
      <c r="A11" s="29" t="s">
        <v>14</v>
      </c>
      <c r="B11" s="14">
        <v>1747</v>
      </c>
      <c r="D11" s="2" t="s">
        <v>12</v>
      </c>
      <c r="E11" s="11">
        <v>28734</v>
      </c>
    </row>
    <row r="12" spans="1:6" ht="11.5" customHeight="1">
      <c r="A12" s="12" t="s">
        <v>15</v>
      </c>
      <c r="D12" s="2" t="s">
        <v>15</v>
      </c>
      <c r="E12" s="14">
        <v>34504</v>
      </c>
      <c r="F12" s="14"/>
    </row>
    <row r="13" spans="1:6" ht="11.5" customHeight="1">
      <c r="A13" s="29" t="s">
        <v>16</v>
      </c>
      <c r="B13" s="14">
        <v>67369</v>
      </c>
      <c r="D13" s="2" t="s">
        <v>13</v>
      </c>
      <c r="E13" s="14">
        <v>7962</v>
      </c>
    </row>
    <row r="14" spans="1:6" ht="11.5" customHeight="1">
      <c r="A14" s="2" t="s">
        <v>17</v>
      </c>
      <c r="B14" s="11">
        <v>64581</v>
      </c>
      <c r="D14" s="19" t="s">
        <v>14</v>
      </c>
      <c r="E14" s="14">
        <v>1747</v>
      </c>
    </row>
    <row r="15" spans="1:6" ht="11.5" customHeight="1">
      <c r="A15" s="12" t="s">
        <v>18</v>
      </c>
      <c r="B15" s="14">
        <v>32172</v>
      </c>
      <c r="D15" s="21" t="s">
        <v>35</v>
      </c>
      <c r="E15" s="1">
        <f>SUM(E7:E14)</f>
        <v>198499</v>
      </c>
    </row>
    <row r="16" spans="1:6" ht="11.5" customHeight="1">
      <c r="A16" s="12" t="s">
        <v>19</v>
      </c>
      <c r="B16" s="14">
        <v>43501</v>
      </c>
    </row>
    <row r="17" spans="1:5" ht="11.5" customHeight="1">
      <c r="A17" s="12" t="s">
        <v>20</v>
      </c>
      <c r="B17" s="14">
        <v>25406</v>
      </c>
      <c r="D17" s="24" t="s">
        <v>16</v>
      </c>
      <c r="E17" s="14">
        <v>67369</v>
      </c>
    </row>
    <row r="18" spans="1:5" ht="11.5" customHeight="1">
      <c r="A18" s="12" t="s">
        <v>21</v>
      </c>
      <c r="B18" s="14">
        <v>80465</v>
      </c>
      <c r="D18" s="2" t="s">
        <v>17</v>
      </c>
      <c r="E18" s="11">
        <v>64581</v>
      </c>
    </row>
    <row r="19" spans="1:5" ht="11.5" customHeight="1">
      <c r="A19" s="2" t="s">
        <v>22</v>
      </c>
      <c r="B19" s="11">
        <v>42349</v>
      </c>
      <c r="D19" s="25" t="s">
        <v>18</v>
      </c>
      <c r="E19" s="14">
        <v>32172</v>
      </c>
    </row>
    <row r="20" spans="1:5" ht="11.5" customHeight="1">
      <c r="A20" s="2" t="s">
        <v>23</v>
      </c>
      <c r="B20" s="11">
        <v>4018</v>
      </c>
      <c r="D20" s="25" t="s">
        <v>19</v>
      </c>
      <c r="E20" s="14">
        <v>43501</v>
      </c>
    </row>
    <row r="21" spans="1:5" ht="11.5" customHeight="1">
      <c r="A21" s="2" t="s">
        <v>24</v>
      </c>
      <c r="B21" s="11">
        <v>11377</v>
      </c>
      <c r="D21" s="25" t="s">
        <v>20</v>
      </c>
      <c r="E21" s="14">
        <v>25406</v>
      </c>
    </row>
    <row r="22" spans="1:5" ht="11.5" customHeight="1">
      <c r="A22" s="2" t="s">
        <v>12</v>
      </c>
      <c r="B22" s="11">
        <v>22721</v>
      </c>
      <c r="D22" s="25" t="s">
        <v>21</v>
      </c>
      <c r="E22" s="14">
        <v>80465</v>
      </c>
    </row>
    <row r="23" spans="1:5" ht="11.5" customHeight="1">
      <c r="A23" s="12" t="s">
        <v>25</v>
      </c>
      <c r="B23" s="14">
        <v>29584</v>
      </c>
      <c r="D23" s="2" t="s">
        <v>22</v>
      </c>
      <c r="E23" s="11">
        <v>42349</v>
      </c>
    </row>
    <row r="24" spans="1:5" ht="11.5" customHeight="1">
      <c r="A24" s="2" t="s">
        <v>26</v>
      </c>
      <c r="B24" s="11">
        <v>22617</v>
      </c>
      <c r="D24" s="2" t="s">
        <v>23</v>
      </c>
      <c r="E24" s="11">
        <v>4018</v>
      </c>
    </row>
    <row r="25" spans="1:5" ht="11.5" customHeight="1">
      <c r="A25" s="12" t="s">
        <v>27</v>
      </c>
      <c r="B25" s="14">
        <v>33353</v>
      </c>
      <c r="D25" s="2" t="s">
        <v>24</v>
      </c>
      <c r="E25" s="11">
        <v>11377</v>
      </c>
    </row>
    <row r="26" spans="1:5" ht="11.5" customHeight="1">
      <c r="A26" s="30" t="s">
        <v>28</v>
      </c>
      <c r="B26" s="14">
        <v>16655</v>
      </c>
      <c r="D26" s="2" t="s">
        <v>12</v>
      </c>
      <c r="E26" s="11">
        <v>22721</v>
      </c>
    </row>
    <row r="27" spans="1:5" ht="11.5" customHeight="1">
      <c r="A27" s="30" t="s">
        <v>29</v>
      </c>
      <c r="B27" s="14">
        <v>38774</v>
      </c>
      <c r="D27" s="25" t="s">
        <v>25</v>
      </c>
      <c r="E27" s="14">
        <v>29584</v>
      </c>
    </row>
    <row r="28" spans="1:5" ht="11.5" customHeight="1">
      <c r="A28" s="12" t="s">
        <v>30</v>
      </c>
      <c r="B28" s="14">
        <v>26255</v>
      </c>
      <c r="D28" s="2" t="s">
        <v>26</v>
      </c>
      <c r="E28" s="11">
        <v>22617</v>
      </c>
    </row>
    <row r="29" spans="1:5" ht="11.5" customHeight="1">
      <c r="A29" s="12" t="s">
        <v>31</v>
      </c>
      <c r="B29" s="14">
        <v>28834</v>
      </c>
      <c r="D29" s="25" t="s">
        <v>27</v>
      </c>
      <c r="E29" s="14">
        <v>33353</v>
      </c>
    </row>
    <row r="30" spans="1:5" ht="11.5" customHeight="1">
      <c r="A30" s="29" t="s">
        <v>32</v>
      </c>
      <c r="B30" s="14">
        <v>16395</v>
      </c>
      <c r="D30" s="26" t="s">
        <v>28</v>
      </c>
      <c r="E30" s="14">
        <v>16655</v>
      </c>
    </row>
    <row r="31" spans="1:5" ht="11.5" customHeight="1">
      <c r="A31" s="12" t="s">
        <v>33</v>
      </c>
      <c r="B31" s="14">
        <v>7931</v>
      </c>
      <c r="D31" s="26" t="s">
        <v>29</v>
      </c>
      <c r="E31" s="14">
        <v>38774</v>
      </c>
    </row>
    <row r="32" spans="1:5" ht="11.5" customHeight="1">
      <c r="D32" s="25" t="s">
        <v>30</v>
      </c>
      <c r="E32" s="14">
        <v>26255</v>
      </c>
    </row>
    <row r="33" spans="4:5" ht="11.5" customHeight="1">
      <c r="D33" s="25" t="s">
        <v>31</v>
      </c>
      <c r="E33" s="14">
        <v>28834</v>
      </c>
    </row>
    <row r="34" spans="4:5" ht="11.5" customHeight="1">
      <c r="D34" s="24" t="s">
        <v>32</v>
      </c>
      <c r="E34" s="14">
        <v>16395</v>
      </c>
    </row>
    <row r="35" spans="4:5" ht="11.5" customHeight="1">
      <c r="D35" s="25" t="s">
        <v>33</v>
      </c>
      <c r="E35" s="14">
        <v>7931</v>
      </c>
    </row>
    <row r="36" spans="4:5" ht="11.5" customHeight="1">
      <c r="D36" s="21" t="s">
        <v>36</v>
      </c>
      <c r="E36" s="1">
        <f>SUM(E17:E35)</f>
        <v>614357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2025-04-30T07:00:28Z</dcterms:modified>
</cp:coreProperties>
</file>