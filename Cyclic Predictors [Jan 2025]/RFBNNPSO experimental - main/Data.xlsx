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wat/Documents/School (Grade 11)/Internship/RFBNNPSO/"/>
    </mc:Choice>
  </mc:AlternateContent>
  <xr:revisionPtr revIDLastSave="0" documentId="13_ncr:1_{BA12B3BF-BA35-DF4A-8EBE-216F5690CCF5}" xr6:coauthVersionLast="47" xr6:coauthVersionMax="47" xr10:uidLastSave="{00000000-0000-0000-0000-000000000000}"/>
  <bookViews>
    <workbookView xWindow="0" yWindow="740" windowWidth="18880" windowHeight="18900" xr2:uid="{6103C341-62EE-4F53-848E-608BCBCC17C0}"/>
  </bookViews>
  <sheets>
    <sheet name="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5" i="1" l="1"/>
  <c r="A75" i="1"/>
  <c r="B75" i="1"/>
  <c r="C75" i="1"/>
  <c r="D75" i="1"/>
  <c r="E75" i="1"/>
  <c r="F75" i="1"/>
  <c r="G75" i="1"/>
  <c r="H75" i="1"/>
  <c r="I75" i="1"/>
  <c r="J75" i="1"/>
  <c r="K75" i="1"/>
  <c r="M75" i="1"/>
  <c r="N75" i="1"/>
  <c r="O75" i="1"/>
  <c r="P75" i="1"/>
  <c r="Q75" i="1"/>
  <c r="R75" i="1"/>
  <c r="S75" i="1"/>
  <c r="A68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S68" i="1"/>
  <c r="A69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S69" i="1"/>
  <c r="A70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S70" i="1"/>
  <c r="A71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S71" i="1"/>
  <c r="A72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S72" i="1"/>
  <c r="A73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S7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S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S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S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S67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S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S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S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S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S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S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S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S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S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S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S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S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S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S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S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S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S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S63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S45" i="1"/>
  <c r="A45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P71" i="1" s="1"/>
  <c r="S40" i="1"/>
  <c r="A40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Q40" i="1" s="1"/>
  <c r="R38" i="1"/>
  <c r="R40" i="1" s="1"/>
  <c r="S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A39" i="1"/>
  <c r="A38" i="1"/>
  <c r="R52" i="1" l="1"/>
  <c r="R65" i="1"/>
  <c r="R46" i="1"/>
  <c r="R48" i="1"/>
  <c r="R50" i="1"/>
  <c r="R63" i="1"/>
  <c r="R70" i="1"/>
  <c r="R61" i="1"/>
  <c r="R64" i="1"/>
  <c r="R66" i="1"/>
  <c r="R59" i="1"/>
  <c r="R57" i="1"/>
  <c r="R72" i="1"/>
  <c r="R68" i="1"/>
  <c r="R53" i="1"/>
  <c r="R51" i="1"/>
  <c r="R47" i="1"/>
  <c r="R73" i="1"/>
  <c r="R67" i="1"/>
  <c r="R71" i="1"/>
  <c r="R69" i="1"/>
  <c r="R58" i="1"/>
  <c r="R60" i="1"/>
  <c r="R62" i="1"/>
  <c r="R54" i="1"/>
  <c r="R56" i="1"/>
  <c r="R55" i="1"/>
  <c r="R49" i="1"/>
  <c r="R45" i="1"/>
  <c r="Q66" i="1"/>
  <c r="Q56" i="1"/>
  <c r="Q52" i="1"/>
  <c r="Q71" i="1"/>
  <c r="Q51" i="1"/>
  <c r="Q63" i="1"/>
  <c r="Q48" i="1"/>
  <c r="Q65" i="1"/>
  <c r="Q55" i="1"/>
  <c r="Q50" i="1"/>
  <c r="Q62" i="1"/>
  <c r="Q57" i="1"/>
  <c r="Q47" i="1"/>
  <c r="Q46" i="1"/>
  <c r="Q58" i="1"/>
  <c r="Q73" i="1"/>
  <c r="Q53" i="1"/>
  <c r="Q60" i="1"/>
  <c r="Q67" i="1"/>
  <c r="Q45" i="1"/>
  <c r="Q68" i="1"/>
  <c r="Q59" i="1"/>
  <c r="Q70" i="1"/>
  <c r="Q72" i="1"/>
  <c r="Q64" i="1"/>
  <c r="Q54" i="1"/>
  <c r="Q69" i="1"/>
  <c r="Q49" i="1"/>
  <c r="Q61" i="1"/>
  <c r="P53" i="1"/>
  <c r="P73" i="1"/>
  <c r="P58" i="1"/>
  <c r="P46" i="1"/>
  <c r="P63" i="1"/>
  <c r="P51" i="1"/>
</calcChain>
</file>

<file path=xl/sharedStrings.xml><?xml version="1.0" encoding="utf-8"?>
<sst xmlns="http://schemas.openxmlformats.org/spreadsheetml/2006/main" count="21" uniqueCount="21">
  <si>
    <t>Year</t>
  </si>
  <si>
    <t>GDP</t>
  </si>
  <si>
    <t>Labourforce</t>
  </si>
  <si>
    <t>Gross DomesticSavings</t>
  </si>
  <si>
    <t>Export</t>
  </si>
  <si>
    <t>Import</t>
  </si>
  <si>
    <t>Broadmoney</t>
  </si>
  <si>
    <t>Unempoyment</t>
  </si>
  <si>
    <t>Murlabour</t>
  </si>
  <si>
    <t>Forlabour</t>
  </si>
  <si>
    <t>Inflation %</t>
  </si>
  <si>
    <t>Foreign Direct inv (FDI)</t>
  </si>
  <si>
    <t>Tourist arrival</t>
  </si>
  <si>
    <t>Tourist Expenditure</t>
  </si>
  <si>
    <t>Expenditure</t>
  </si>
  <si>
    <t>Population 65+</t>
  </si>
  <si>
    <t>Industry</t>
  </si>
  <si>
    <t>Primary</t>
  </si>
  <si>
    <t>Secondary</t>
  </si>
  <si>
    <t>Tertiary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</si>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</sst>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" fontId="0" fillId="0" borderId="0" xfId="0" applyNumberFormat="1"/>
    <xf numFmtId="3" fontId="0" fillId="0" borderId="0" xfId="0" applyNumberFormat="1"/>
    <xf numFmtId="11" fontId="0" fillId="0" borderId="0" xfId="0" quotePrefix="1" applyNumberFormat="1"/>
    <xf numFmtId="16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0B7C-22F6-40C2-ADC7-486CD9F4B1DA}">
  <dimension ref="A1:V75"/>
  <sheetViews>
    <sheetView tabSelected="1" zoomScale="75" workbookViewId="0">
      <pane xSplit="1" topLeftCell="G1" activePane="topRight" state="frozen"/>
      <selection pane="topRight" activeCell="K26" sqref="K26"/>
    </sheetView>
  </sheetViews>
  <sheetFormatPr baseColWidth="10" defaultColWidth="8.83203125" defaultRowHeight="15" x14ac:dyDescent="0.2"/>
  <cols>
    <col min="1" max="2" width="10.6640625" bestFit="1" customWidth="1"/>
    <col min="3" max="3" width="12.33203125" bestFit="1" customWidth="1"/>
    <col min="4" max="4" width="17.6640625" bestFit="1" customWidth="1"/>
    <col min="5" max="5" width="12.33203125" bestFit="1" customWidth="1"/>
    <col min="6" max="6" width="11.33203125" bestFit="1" customWidth="1"/>
    <col min="7" max="7" width="11.1640625" bestFit="1" customWidth="1"/>
    <col min="8" max="8" width="11.6640625" bestFit="1" customWidth="1"/>
    <col min="9" max="9" width="10.6640625" bestFit="1" customWidth="1"/>
    <col min="10" max="10" width="11.1640625" bestFit="1" customWidth="1"/>
    <col min="11" max="11" width="19.33203125" bestFit="1" customWidth="1"/>
    <col min="12" max="12" width="10.6640625" bestFit="1" customWidth="1"/>
    <col min="13" max="13" width="16.5" bestFit="1" customWidth="1"/>
    <col min="14" max="14" width="12.33203125" bestFit="1" customWidth="1"/>
    <col min="15" max="15" width="10.6640625" bestFit="1" customWidth="1"/>
    <col min="16" max="18" width="12.1640625" bestFit="1" customWidth="1"/>
    <col min="19" max="19" width="11.1640625" bestFit="1" customWidth="1"/>
  </cols>
  <sheetData>
    <row r="1" spans="1:19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S1" t="s">
        <v>1</v>
      </c>
    </row>
    <row r="2" spans="1:19" x14ac:dyDescent="0.2">
      <c r="P2" t="s">
        <v>17</v>
      </c>
      <c r="Q2" t="s">
        <v>18</v>
      </c>
      <c r="R2" t="s">
        <v>19</v>
      </c>
    </row>
    <row r="3" spans="1:19" x14ac:dyDescent="0.2">
      <c r="A3">
        <v>1995</v>
      </c>
      <c r="B3">
        <v>475000</v>
      </c>
      <c r="C3">
        <v>16108000000</v>
      </c>
      <c r="D3" s="1">
        <v>41205000000</v>
      </c>
      <c r="E3">
        <v>42908000000</v>
      </c>
      <c r="F3">
        <v>8134000000</v>
      </c>
      <c r="G3">
        <v>24300</v>
      </c>
      <c r="H3">
        <v>475000</v>
      </c>
      <c r="I3">
        <v>9800</v>
      </c>
      <c r="J3">
        <v>6</v>
      </c>
      <c r="K3">
        <v>1000000000</v>
      </c>
      <c r="L3" s="2">
        <v>422463</v>
      </c>
      <c r="M3">
        <v>7472000000</v>
      </c>
      <c r="N3">
        <v>15559900000</v>
      </c>
      <c r="O3" s="2">
        <v>129316</v>
      </c>
      <c r="P3">
        <v>6591338686.1980696</v>
      </c>
      <c r="Q3">
        <v>19815172646.6064</v>
      </c>
      <c r="R3">
        <v>37910198671.198799</v>
      </c>
      <c r="S3">
        <v>70246000000</v>
      </c>
    </row>
    <row r="4" spans="1:19" x14ac:dyDescent="0.2">
      <c r="A4">
        <v>1996</v>
      </c>
      <c r="B4">
        <v>482300</v>
      </c>
      <c r="C4">
        <v>18409000000</v>
      </c>
      <c r="D4" s="1">
        <v>50465000000</v>
      </c>
      <c r="E4">
        <v>50959000000</v>
      </c>
      <c r="F4">
        <v>9831000000</v>
      </c>
      <c r="G4">
        <v>27900</v>
      </c>
      <c r="H4">
        <v>482300</v>
      </c>
      <c r="I4">
        <v>8200</v>
      </c>
      <c r="J4">
        <v>6.6</v>
      </c>
      <c r="K4">
        <v>1000000000</v>
      </c>
      <c r="L4" s="2">
        <v>486867</v>
      </c>
      <c r="M4">
        <v>9048000000</v>
      </c>
      <c r="N4">
        <v>17208100000</v>
      </c>
      <c r="O4" s="2">
        <v>131353</v>
      </c>
      <c r="P4">
        <v>7332984825.7449436</v>
      </c>
      <c r="Q4">
        <v>22344538396.7365</v>
      </c>
      <c r="R4">
        <v>43066964678.738861</v>
      </c>
      <c r="S4">
        <v>79365000000</v>
      </c>
    </row>
    <row r="5" spans="1:19" x14ac:dyDescent="0.2">
      <c r="A5">
        <v>1997</v>
      </c>
      <c r="B5">
        <v>490800</v>
      </c>
      <c r="C5">
        <v>20773000000</v>
      </c>
      <c r="D5" s="1">
        <v>54194000000</v>
      </c>
      <c r="E5">
        <v>57802000000</v>
      </c>
      <c r="F5">
        <v>10613000000</v>
      </c>
      <c r="G5">
        <v>32200</v>
      </c>
      <c r="H5">
        <v>490800</v>
      </c>
      <c r="I5">
        <v>8600</v>
      </c>
      <c r="J5">
        <v>6.6</v>
      </c>
      <c r="K5">
        <v>1000000000</v>
      </c>
      <c r="L5" s="2">
        <v>536125</v>
      </c>
      <c r="M5">
        <v>10068000000</v>
      </c>
      <c r="N5">
        <v>20350000000</v>
      </c>
      <c r="O5" s="2">
        <v>132169</v>
      </c>
      <c r="P5">
        <v>7474426443.4896364</v>
      </c>
      <c r="Q5">
        <v>23859153053.184875</v>
      </c>
      <c r="R5">
        <v>48997137092.876167</v>
      </c>
      <c r="S5">
        <v>88175000000</v>
      </c>
    </row>
    <row r="6" spans="1:19" x14ac:dyDescent="0.2">
      <c r="A6">
        <v>1998</v>
      </c>
      <c r="B6">
        <v>499400</v>
      </c>
      <c r="C6">
        <v>23015000000</v>
      </c>
      <c r="D6" s="1">
        <v>65711000000</v>
      </c>
      <c r="E6">
        <v>62195000000</v>
      </c>
      <c r="F6">
        <v>11592000000</v>
      </c>
      <c r="G6">
        <v>34400</v>
      </c>
      <c r="H6">
        <v>499400</v>
      </c>
      <c r="I6">
        <v>10000</v>
      </c>
      <c r="J6">
        <v>6.8</v>
      </c>
      <c r="K6">
        <v>1000000000</v>
      </c>
      <c r="L6" s="2">
        <v>558195</v>
      </c>
      <c r="M6">
        <v>11890000000</v>
      </c>
      <c r="N6">
        <v>21872800000</v>
      </c>
      <c r="O6" s="2">
        <v>134748</v>
      </c>
      <c r="P6">
        <v>8286020095.0132618</v>
      </c>
      <c r="Q6">
        <v>26966417547.517719</v>
      </c>
      <c r="R6">
        <v>56079845976.791618</v>
      </c>
      <c r="S6" s="3">
        <v>100000000000</v>
      </c>
    </row>
    <row r="7" spans="1:19" x14ac:dyDescent="0.2">
      <c r="A7">
        <v>1999</v>
      </c>
      <c r="B7">
        <v>506600</v>
      </c>
      <c r="C7">
        <v>27691000000</v>
      </c>
      <c r="D7" s="1">
        <v>69800000000</v>
      </c>
      <c r="E7">
        <v>72861000000</v>
      </c>
      <c r="F7">
        <v>12004000000</v>
      </c>
      <c r="G7">
        <v>39000</v>
      </c>
      <c r="H7">
        <v>506600</v>
      </c>
      <c r="I7">
        <v>12900</v>
      </c>
      <c r="J7">
        <v>6.9</v>
      </c>
      <c r="K7">
        <v>1000000000</v>
      </c>
      <c r="L7" s="2">
        <v>578085</v>
      </c>
      <c r="M7">
        <v>13668000000</v>
      </c>
      <c r="N7">
        <v>25795700000</v>
      </c>
      <c r="O7" s="2">
        <v>138104</v>
      </c>
      <c r="P7">
        <v>5888360383.5586605</v>
      </c>
      <c r="Q7">
        <v>29181951265.051571</v>
      </c>
      <c r="R7">
        <v>63287409047.261536</v>
      </c>
      <c r="S7" s="3">
        <v>108000000000</v>
      </c>
    </row>
    <row r="8" spans="1:19" x14ac:dyDescent="0.2">
      <c r="A8">
        <v>2000</v>
      </c>
      <c r="B8">
        <v>503000</v>
      </c>
      <c r="C8">
        <v>30887000000</v>
      </c>
      <c r="D8" s="1">
        <v>72777000000</v>
      </c>
      <c r="E8">
        <v>74513000000</v>
      </c>
      <c r="F8">
        <v>13301000000</v>
      </c>
      <c r="G8">
        <v>32700</v>
      </c>
      <c r="H8">
        <v>503000</v>
      </c>
      <c r="I8">
        <v>14600</v>
      </c>
      <c r="J8">
        <v>4.2</v>
      </c>
      <c r="K8" s="1">
        <v>12454090775.92</v>
      </c>
      <c r="L8" s="2">
        <v>656453</v>
      </c>
      <c r="M8">
        <v>14234000000</v>
      </c>
      <c r="N8">
        <v>27189200000</v>
      </c>
      <c r="O8" s="2">
        <v>143915</v>
      </c>
      <c r="P8">
        <v>7490740306.031394</v>
      </c>
      <c r="Q8">
        <v>32420206899.834293</v>
      </c>
      <c r="R8">
        <v>71250220966.911575</v>
      </c>
      <c r="S8" s="3">
        <v>120000000000</v>
      </c>
    </row>
    <row r="9" spans="1:19" x14ac:dyDescent="0.2">
      <c r="A9">
        <v>2001</v>
      </c>
      <c r="B9">
        <v>505800</v>
      </c>
      <c r="C9">
        <v>37464000000</v>
      </c>
      <c r="D9" s="1">
        <v>83842000000</v>
      </c>
      <c r="E9">
        <v>82986000000</v>
      </c>
      <c r="F9">
        <v>15454000000</v>
      </c>
      <c r="G9">
        <v>35100</v>
      </c>
      <c r="H9">
        <v>505800</v>
      </c>
      <c r="I9">
        <v>16500</v>
      </c>
      <c r="J9">
        <v>5.4</v>
      </c>
      <c r="K9" s="1">
        <v>1445908811.6199999</v>
      </c>
      <c r="L9" s="2">
        <v>660318</v>
      </c>
      <c r="M9">
        <v>18166000000</v>
      </c>
      <c r="N9">
        <v>31581700000</v>
      </c>
      <c r="O9" s="2">
        <v>147037</v>
      </c>
      <c r="P9">
        <v>8751768555.1255436</v>
      </c>
      <c r="Q9">
        <v>36497697030.89286</v>
      </c>
      <c r="R9">
        <v>77993924905.846741</v>
      </c>
      <c r="S9" s="3">
        <v>132000000000</v>
      </c>
    </row>
    <row r="10" spans="1:19" x14ac:dyDescent="0.2">
      <c r="A10">
        <v>2002</v>
      </c>
      <c r="B10">
        <v>509800</v>
      </c>
      <c r="C10">
        <v>39382000000</v>
      </c>
      <c r="D10" s="1">
        <v>73907000000</v>
      </c>
      <c r="E10">
        <v>83964000000</v>
      </c>
      <c r="F10">
        <v>18159000000</v>
      </c>
      <c r="G10">
        <v>38600</v>
      </c>
      <c r="H10">
        <v>509800</v>
      </c>
      <c r="I10">
        <v>17000</v>
      </c>
      <c r="J10">
        <v>6.4</v>
      </c>
      <c r="K10" s="1">
        <v>1470076213.71</v>
      </c>
      <c r="L10" s="2">
        <v>681648</v>
      </c>
      <c r="M10">
        <v>18328000000</v>
      </c>
      <c r="N10">
        <v>32924700000</v>
      </c>
      <c r="O10" s="2">
        <v>150262</v>
      </c>
      <c r="P10">
        <v>7990490898.2730637</v>
      </c>
      <c r="Q10">
        <v>38407798987.420052</v>
      </c>
      <c r="R10">
        <v>85739556845.396149</v>
      </c>
      <c r="S10" s="3">
        <v>142000000000</v>
      </c>
    </row>
    <row r="11" spans="1:19" x14ac:dyDescent="0.2">
      <c r="A11">
        <v>2003</v>
      </c>
      <c r="B11">
        <v>514100</v>
      </c>
      <c r="C11">
        <v>38852000000</v>
      </c>
      <c r="D11" s="1">
        <v>72646000000</v>
      </c>
      <c r="E11">
        <v>86694000000</v>
      </c>
      <c r="F11">
        <v>20403000000</v>
      </c>
      <c r="G11">
        <v>42100</v>
      </c>
      <c r="H11">
        <v>514100</v>
      </c>
      <c r="I11">
        <v>18200</v>
      </c>
      <c r="J11">
        <v>3.9</v>
      </c>
      <c r="K11" s="1">
        <v>3171365015.6500001</v>
      </c>
      <c r="L11" s="2">
        <v>702018</v>
      </c>
      <c r="M11">
        <v>19415000000</v>
      </c>
      <c r="N11">
        <v>38552600000</v>
      </c>
      <c r="O11" s="2">
        <v>153393</v>
      </c>
      <c r="P11">
        <v>8491085395.2261877</v>
      </c>
      <c r="Q11">
        <v>40890961390.582611</v>
      </c>
      <c r="R11">
        <v>93102663721.123367</v>
      </c>
      <c r="S11" s="3">
        <v>162000000000</v>
      </c>
    </row>
    <row r="12" spans="1:19" x14ac:dyDescent="0.2">
      <c r="A12">
        <v>2004</v>
      </c>
      <c r="B12">
        <v>519000</v>
      </c>
      <c r="C12">
        <v>39735000000</v>
      </c>
      <c r="D12" s="1">
        <v>180908000000</v>
      </c>
      <c r="E12">
        <v>99025000000</v>
      </c>
      <c r="F12">
        <v>23617000000</v>
      </c>
      <c r="G12">
        <v>43700</v>
      </c>
      <c r="H12">
        <v>519000</v>
      </c>
      <c r="I12">
        <v>17500</v>
      </c>
      <c r="J12">
        <v>4.7</v>
      </c>
      <c r="K12" s="1">
        <v>2940482057.2199998</v>
      </c>
      <c r="L12" s="2">
        <v>718861</v>
      </c>
      <c r="M12">
        <v>23448000000</v>
      </c>
      <c r="N12">
        <v>41963400000</v>
      </c>
      <c r="O12" s="2">
        <v>155598</v>
      </c>
      <c r="P12">
        <v>9635052676.134655</v>
      </c>
      <c r="Q12">
        <v>44069634736.174759</v>
      </c>
      <c r="R12">
        <v>104030160945.30249</v>
      </c>
      <c r="S12" s="3">
        <v>181000000000</v>
      </c>
    </row>
    <row r="13" spans="1:19" x14ac:dyDescent="0.2">
      <c r="A13">
        <v>2005</v>
      </c>
      <c r="B13">
        <v>528600</v>
      </c>
      <c r="C13">
        <v>31313000000</v>
      </c>
      <c r="D13" s="1">
        <v>112969000000</v>
      </c>
      <c r="E13" s="3">
        <v>124000000000</v>
      </c>
      <c r="F13">
        <v>25958000000</v>
      </c>
      <c r="G13">
        <v>50500</v>
      </c>
      <c r="H13">
        <v>528600</v>
      </c>
      <c r="I13">
        <v>16600</v>
      </c>
      <c r="J13">
        <v>4.9000000000000004</v>
      </c>
      <c r="K13" s="1">
        <v>4282915442.9400001</v>
      </c>
      <c r="L13" s="2">
        <v>761063</v>
      </c>
      <c r="M13">
        <v>25704000000</v>
      </c>
      <c r="N13">
        <v>44387100000</v>
      </c>
      <c r="O13" s="2">
        <v>159393</v>
      </c>
      <c r="P13">
        <v>9615377785.1190166</v>
      </c>
      <c r="Q13">
        <v>44629966881.703247</v>
      </c>
      <c r="R13">
        <v>113970647612.64934</v>
      </c>
      <c r="S13" s="3">
        <v>191000000000</v>
      </c>
    </row>
    <row r="14" spans="1:19" x14ac:dyDescent="0.2">
      <c r="A14">
        <v>2006</v>
      </c>
      <c r="B14">
        <v>532400</v>
      </c>
      <c r="C14">
        <v>34554000000</v>
      </c>
      <c r="D14" s="1">
        <v>130254000000</v>
      </c>
      <c r="E14" s="3">
        <v>151000000000</v>
      </c>
      <c r="F14" s="3">
        <v>198000000000</v>
      </c>
      <c r="G14">
        <v>48100</v>
      </c>
      <c r="H14">
        <v>532400</v>
      </c>
      <c r="I14">
        <v>16700</v>
      </c>
      <c r="J14">
        <v>8.9</v>
      </c>
      <c r="K14" s="1">
        <v>10248874629.17</v>
      </c>
      <c r="L14" s="2">
        <v>788276</v>
      </c>
      <c r="M14">
        <v>31942000000</v>
      </c>
      <c r="N14">
        <v>48875200000</v>
      </c>
      <c r="O14" s="2">
        <v>160629</v>
      </c>
      <c r="P14">
        <v>11767000000</v>
      </c>
      <c r="Q14">
        <v>48949000000</v>
      </c>
      <c r="R14" s="3">
        <v>137839000000</v>
      </c>
      <c r="S14" s="3">
        <v>223000000000</v>
      </c>
    </row>
    <row r="15" spans="1:19" x14ac:dyDescent="0.2">
      <c r="A15">
        <v>2007</v>
      </c>
      <c r="B15">
        <v>527500</v>
      </c>
      <c r="C15">
        <v>42984000000</v>
      </c>
      <c r="D15" s="1">
        <v>142580000000</v>
      </c>
      <c r="E15" s="3">
        <v>164000000000</v>
      </c>
      <c r="F15" s="3">
        <v>215000000000</v>
      </c>
      <c r="G15">
        <v>44700</v>
      </c>
      <c r="H15">
        <v>527500</v>
      </c>
      <c r="I15">
        <v>21600</v>
      </c>
      <c r="J15">
        <v>8.8000000000000007</v>
      </c>
      <c r="K15" s="1">
        <v>16546003630.6</v>
      </c>
      <c r="L15" s="2">
        <v>906971</v>
      </c>
      <c r="M15">
        <v>40687000000</v>
      </c>
      <c r="N15">
        <v>51233100000</v>
      </c>
      <c r="O15" s="2">
        <v>163834</v>
      </c>
      <c r="P15">
        <v>12048000000</v>
      </c>
      <c r="Q15">
        <v>56658000000</v>
      </c>
      <c r="R15" s="3">
        <v>157957000000</v>
      </c>
      <c r="S15" s="3">
        <v>255000000000</v>
      </c>
    </row>
    <row r="16" spans="1:19" x14ac:dyDescent="0.2">
      <c r="A16">
        <v>2008</v>
      </c>
      <c r="B16">
        <v>531800</v>
      </c>
      <c r="C16">
        <v>38766000000</v>
      </c>
      <c r="D16" s="1">
        <v>145170000000</v>
      </c>
      <c r="E16" s="3">
        <v>181000000000</v>
      </c>
      <c r="F16" s="3">
        <v>252000000000</v>
      </c>
      <c r="G16">
        <v>38100</v>
      </c>
      <c r="H16">
        <v>531800</v>
      </c>
      <c r="I16">
        <v>24000</v>
      </c>
      <c r="J16">
        <v>9.6999999999999993</v>
      </c>
      <c r="K16" s="1">
        <v>18059971347.32</v>
      </c>
      <c r="L16" s="2">
        <v>930456</v>
      </c>
      <c r="M16">
        <v>41213000000</v>
      </c>
      <c r="N16">
        <v>60105600000</v>
      </c>
      <c r="O16" s="2">
        <v>166553</v>
      </c>
      <c r="P16">
        <v>12621000000</v>
      </c>
      <c r="Q16">
        <v>65300000000</v>
      </c>
      <c r="R16" s="3">
        <v>175134000000</v>
      </c>
      <c r="S16" s="3">
        <v>284000000000</v>
      </c>
    </row>
    <row r="17" spans="1:22" x14ac:dyDescent="0.2">
      <c r="A17">
        <v>2009</v>
      </c>
      <c r="B17">
        <v>540200</v>
      </c>
      <c r="C17">
        <v>33724000000</v>
      </c>
      <c r="D17" s="1">
        <v>139101000000</v>
      </c>
      <c r="E17" s="3">
        <v>165000000000</v>
      </c>
      <c r="F17" s="3">
        <v>284000000000</v>
      </c>
      <c r="G17">
        <v>39300</v>
      </c>
      <c r="H17">
        <v>540200</v>
      </c>
      <c r="I17">
        <v>21000</v>
      </c>
      <c r="J17">
        <v>2.5</v>
      </c>
      <c r="K17" s="1">
        <v>12380962959.719999</v>
      </c>
      <c r="L17" s="2">
        <v>871356</v>
      </c>
      <c r="M17">
        <v>35693000000</v>
      </c>
      <c r="N17">
        <v>66229000000</v>
      </c>
      <c r="O17" s="2">
        <v>171827</v>
      </c>
      <c r="P17">
        <v>12363000000</v>
      </c>
      <c r="Q17">
        <v>67083000000</v>
      </c>
      <c r="R17" s="3">
        <v>181573000000</v>
      </c>
      <c r="S17" s="3">
        <v>292000000000</v>
      </c>
    </row>
    <row r="18" spans="1:22" x14ac:dyDescent="0.2">
      <c r="A18">
        <v>2010</v>
      </c>
      <c r="B18">
        <v>551900</v>
      </c>
      <c r="C18">
        <v>37240000000</v>
      </c>
      <c r="D18" s="1">
        <v>157790000000</v>
      </c>
      <c r="E18" s="3">
        <v>191000000000</v>
      </c>
      <c r="F18" s="3">
        <v>287000000000</v>
      </c>
      <c r="G18">
        <v>42200</v>
      </c>
      <c r="H18">
        <v>551900</v>
      </c>
      <c r="I18">
        <v>22000</v>
      </c>
      <c r="J18">
        <v>2.9</v>
      </c>
      <c r="K18" s="1">
        <v>20388988903.470001</v>
      </c>
      <c r="L18" s="2">
        <v>934827</v>
      </c>
      <c r="M18">
        <v>39456000000</v>
      </c>
      <c r="N18">
        <v>75059000000</v>
      </c>
      <c r="O18" s="2">
        <v>178581</v>
      </c>
      <c r="P18">
        <v>12389000000</v>
      </c>
      <c r="Q18">
        <v>68031000000</v>
      </c>
      <c r="R18" s="3">
        <v>193583000000</v>
      </c>
      <c r="S18" s="3">
        <v>308000000000</v>
      </c>
    </row>
    <row r="19" spans="1:22" x14ac:dyDescent="0.2">
      <c r="A19">
        <v>2011</v>
      </c>
      <c r="B19">
        <v>548600</v>
      </c>
      <c r="C19">
        <v>42440000000</v>
      </c>
      <c r="D19" s="1">
        <v>173405000000</v>
      </c>
      <c r="E19" s="3">
        <v>214000000000</v>
      </c>
      <c r="F19" s="3">
        <v>306000000000</v>
      </c>
      <c r="G19">
        <v>42700</v>
      </c>
      <c r="H19">
        <v>548600</v>
      </c>
      <c r="I19">
        <v>23000</v>
      </c>
      <c r="J19">
        <v>6.5</v>
      </c>
      <c r="K19" s="1">
        <v>20212882695.049999</v>
      </c>
      <c r="L19" s="2">
        <v>964642</v>
      </c>
      <c r="M19">
        <v>42717000000</v>
      </c>
      <c r="N19">
        <v>79570000000</v>
      </c>
      <c r="O19" s="2">
        <v>189475</v>
      </c>
      <c r="P19">
        <v>13287000000</v>
      </c>
      <c r="Q19">
        <v>70378000000</v>
      </c>
      <c r="R19" s="3">
        <v>208952000000</v>
      </c>
      <c r="S19" s="3">
        <v>331000000000</v>
      </c>
    </row>
    <row r="20" spans="1:22" x14ac:dyDescent="0.2">
      <c r="A20">
        <v>2012</v>
      </c>
      <c r="B20">
        <v>556300</v>
      </c>
      <c r="C20">
        <v>43557000000</v>
      </c>
      <c r="D20" s="1">
        <v>188619000000</v>
      </c>
      <c r="E20" s="3">
        <v>229000000000</v>
      </c>
      <c r="F20" s="3">
        <v>328000000000</v>
      </c>
      <c r="G20">
        <v>44600</v>
      </c>
      <c r="H20">
        <v>556300</v>
      </c>
      <c r="I20">
        <v>24000</v>
      </c>
      <c r="J20">
        <v>3.9</v>
      </c>
      <c r="K20" s="1">
        <v>30508681012.07</v>
      </c>
      <c r="L20" s="2">
        <v>965441</v>
      </c>
      <c r="M20">
        <v>44378000000</v>
      </c>
      <c r="N20">
        <v>71508700000</v>
      </c>
      <c r="O20" s="2">
        <v>196457</v>
      </c>
      <c r="P20">
        <v>13824000000</v>
      </c>
      <c r="Q20">
        <v>72424000000</v>
      </c>
      <c r="R20" s="3">
        <v>223072000000</v>
      </c>
      <c r="S20" s="3">
        <v>351000000000</v>
      </c>
    </row>
    <row r="21" spans="1:22" x14ac:dyDescent="0.2">
      <c r="A21">
        <v>2013</v>
      </c>
      <c r="B21">
        <v>571200</v>
      </c>
      <c r="C21">
        <v>43316000000</v>
      </c>
      <c r="D21" s="1">
        <v>198416000000</v>
      </c>
      <c r="E21" s="3">
        <v>228000000000</v>
      </c>
      <c r="F21" s="3">
        <v>351000000000</v>
      </c>
      <c r="G21">
        <v>45500</v>
      </c>
      <c r="H21">
        <v>571200</v>
      </c>
      <c r="I21">
        <v>26300</v>
      </c>
      <c r="J21">
        <v>3.5</v>
      </c>
      <c r="K21" s="1">
        <v>20177283144.099998</v>
      </c>
      <c r="L21" s="2">
        <v>992503</v>
      </c>
      <c r="M21">
        <v>40557000000</v>
      </c>
      <c r="N21">
        <v>81415000000</v>
      </c>
      <c r="O21" s="2">
        <v>205146</v>
      </c>
      <c r="P21">
        <v>13560000000</v>
      </c>
      <c r="Q21">
        <v>75726000000</v>
      </c>
      <c r="R21" s="3">
        <v>241088000000</v>
      </c>
      <c r="S21" s="3">
        <v>377000000000</v>
      </c>
      <c r="V21" t="s">
        <v>20</v>
      </c>
    </row>
    <row r="22" spans="1:22" x14ac:dyDescent="0.2">
      <c r="A22">
        <v>2014</v>
      </c>
      <c r="B22">
        <v>575700</v>
      </c>
      <c r="C22">
        <v>44345000000</v>
      </c>
      <c r="D22" s="1">
        <v>210283000000</v>
      </c>
      <c r="E22" s="3">
        <v>244000000000</v>
      </c>
      <c r="F22" s="3">
        <v>378000000000</v>
      </c>
      <c r="G22">
        <v>44800</v>
      </c>
      <c r="H22">
        <v>575700</v>
      </c>
      <c r="I22">
        <v>28300</v>
      </c>
      <c r="J22">
        <v>3.2</v>
      </c>
      <c r="K22" s="1">
        <v>27182268299.57</v>
      </c>
      <c r="L22" s="2">
        <v>1038334</v>
      </c>
      <c r="M22">
        <v>44304000000</v>
      </c>
      <c r="N22">
        <v>92225000000</v>
      </c>
      <c r="O22" s="2">
        <v>214668</v>
      </c>
      <c r="P22">
        <v>13862000000</v>
      </c>
      <c r="Q22">
        <v>77858000000</v>
      </c>
      <c r="R22" s="3">
        <v>260007000000</v>
      </c>
      <c r="S22" s="3">
        <v>400000000000</v>
      </c>
    </row>
    <row r="23" spans="1:22" x14ac:dyDescent="0.2">
      <c r="A23">
        <v>2015</v>
      </c>
      <c r="B23">
        <v>584600</v>
      </c>
      <c r="C23">
        <v>46064000000</v>
      </c>
      <c r="D23" s="1">
        <v>216773000000</v>
      </c>
      <c r="E23" s="3">
        <v>240000000000</v>
      </c>
      <c r="F23" s="3">
        <v>418000000000</v>
      </c>
      <c r="G23">
        <v>46300</v>
      </c>
      <c r="H23">
        <v>584600</v>
      </c>
      <c r="I23">
        <v>28300</v>
      </c>
      <c r="J23">
        <v>1.3</v>
      </c>
      <c r="K23" s="1">
        <v>17619171228.32</v>
      </c>
      <c r="L23" s="2">
        <v>1151252</v>
      </c>
      <c r="M23">
        <v>50191000000</v>
      </c>
      <c r="N23" s="3">
        <v>103153000000</v>
      </c>
      <c r="O23" s="2">
        <v>227143</v>
      </c>
      <c r="P23">
        <v>13978000000</v>
      </c>
      <c r="Q23">
        <v>79744000000</v>
      </c>
      <c r="R23" s="3">
        <v>298535000000</v>
      </c>
      <c r="S23" s="3">
        <v>421000000000</v>
      </c>
    </row>
    <row r="24" spans="1:22" x14ac:dyDescent="0.2">
      <c r="A24">
        <v>2016</v>
      </c>
      <c r="B24">
        <v>581000</v>
      </c>
      <c r="C24">
        <v>49495000000</v>
      </c>
      <c r="D24" s="1">
        <v>220113000000</v>
      </c>
      <c r="E24" s="3">
        <v>246000000000</v>
      </c>
      <c r="F24" s="3">
        <v>455000000000</v>
      </c>
      <c r="G24">
        <v>42400</v>
      </c>
      <c r="H24">
        <v>581000</v>
      </c>
      <c r="I24">
        <v>28600</v>
      </c>
      <c r="J24">
        <v>1</v>
      </c>
      <c r="K24" s="1">
        <v>22993730870.57</v>
      </c>
      <c r="L24" s="2">
        <v>1275227</v>
      </c>
      <c r="M24">
        <v>55867000000</v>
      </c>
      <c r="N24" s="3">
        <v>110560000000</v>
      </c>
      <c r="O24" s="2">
        <v>242328</v>
      </c>
      <c r="P24">
        <v>15017000000</v>
      </c>
      <c r="Q24">
        <v>82035000000</v>
      </c>
      <c r="R24" s="3">
        <v>296286000000</v>
      </c>
      <c r="S24" s="3">
        <v>448000000000</v>
      </c>
    </row>
    <row r="25" spans="1:22" x14ac:dyDescent="0.2">
      <c r="A25">
        <v>2017</v>
      </c>
      <c r="B25">
        <v>586900</v>
      </c>
      <c r="C25">
        <v>45738000000</v>
      </c>
      <c r="D25" s="1">
        <v>227707000000</v>
      </c>
      <c r="E25" s="3">
        <v>251000000000</v>
      </c>
      <c r="F25" s="3">
        <v>491000000000</v>
      </c>
      <c r="G25">
        <v>41800</v>
      </c>
      <c r="H25">
        <v>586900</v>
      </c>
      <c r="I25">
        <v>28400</v>
      </c>
      <c r="J25">
        <v>3.7</v>
      </c>
      <c r="K25" s="1">
        <v>29157451757.220001</v>
      </c>
      <c r="L25" s="2">
        <v>1341860</v>
      </c>
      <c r="M25">
        <v>60262000000</v>
      </c>
      <c r="N25" s="3">
        <v>122280000000</v>
      </c>
      <c r="O25" s="2">
        <v>255221</v>
      </c>
      <c r="P25">
        <v>15482000000</v>
      </c>
      <c r="Q25">
        <v>82672000000</v>
      </c>
      <c r="R25" s="3">
        <v>314897000000</v>
      </c>
      <c r="S25" s="3">
        <v>473000000000</v>
      </c>
    </row>
    <row r="26" spans="1:22" x14ac:dyDescent="0.2">
      <c r="A26">
        <v>2018</v>
      </c>
      <c r="B26">
        <v>583800</v>
      </c>
      <c r="C26">
        <v>43078000000</v>
      </c>
      <c r="D26" s="1">
        <v>230503000000</v>
      </c>
      <c r="E26" s="3">
        <v>260000000000</v>
      </c>
      <c r="F26" s="3">
        <v>538000000000</v>
      </c>
      <c r="G26">
        <v>40100</v>
      </c>
      <c r="H26">
        <v>583800</v>
      </c>
      <c r="I26">
        <v>29400</v>
      </c>
      <c r="J26">
        <v>3.2</v>
      </c>
      <c r="K26" s="1">
        <v>26581394423.66</v>
      </c>
      <c r="L26" s="2">
        <v>1399408</v>
      </c>
      <c r="M26">
        <v>64037303285</v>
      </c>
      <c r="N26" s="3">
        <v>126547000000</v>
      </c>
      <c r="O26" s="2">
        <v>268954</v>
      </c>
      <c r="P26">
        <v>14382000000</v>
      </c>
      <c r="Q26">
        <v>86445000000</v>
      </c>
      <c r="R26" s="3">
        <v>334550000000</v>
      </c>
      <c r="S26" s="3">
        <v>500000000000</v>
      </c>
    </row>
    <row r="27" spans="1:22" x14ac:dyDescent="0.2">
      <c r="A27">
        <v>2019</v>
      </c>
      <c r="B27">
        <v>591000</v>
      </c>
      <c r="C27">
        <v>43874000000</v>
      </c>
      <c r="D27" s="1">
        <v>228744000000</v>
      </c>
      <c r="E27" s="3">
        <v>267000000000</v>
      </c>
      <c r="F27" s="3">
        <v>572000000000</v>
      </c>
      <c r="G27">
        <v>39700</v>
      </c>
      <c r="H27">
        <v>591000</v>
      </c>
      <c r="I27">
        <v>30900</v>
      </c>
      <c r="J27">
        <v>0.5</v>
      </c>
      <c r="K27" s="1">
        <v>28274755204.700001</v>
      </c>
      <c r="L27" s="2">
        <v>1383488</v>
      </c>
      <c r="M27">
        <v>63107000000</v>
      </c>
      <c r="N27" s="3">
        <v>165279000000</v>
      </c>
      <c r="O27" s="2">
        <v>281274</v>
      </c>
      <c r="P27">
        <v>15479000000</v>
      </c>
      <c r="Q27">
        <v>84987000000</v>
      </c>
      <c r="R27" s="3">
        <v>345252000000</v>
      </c>
      <c r="S27" s="3">
        <v>512000000000</v>
      </c>
    </row>
    <row r="28" spans="1:22" x14ac:dyDescent="0.2">
      <c r="A28">
        <v>2020</v>
      </c>
      <c r="B28">
        <v>570100</v>
      </c>
      <c r="C28">
        <v>44135000000</v>
      </c>
      <c r="D28" s="1">
        <v>176631000000</v>
      </c>
      <c r="E28" s="3">
        <v>209000000000</v>
      </c>
      <c r="F28" s="3">
        <v>644000000000</v>
      </c>
      <c r="G28">
        <v>52200</v>
      </c>
      <c r="H28">
        <v>570100</v>
      </c>
      <c r="I28">
        <v>31800</v>
      </c>
      <c r="J28">
        <v>2.5</v>
      </c>
      <c r="K28" s="1">
        <v>19378384423.009998</v>
      </c>
      <c r="L28" s="2">
        <v>308980</v>
      </c>
      <c r="M28">
        <v>17664000000</v>
      </c>
      <c r="N28" s="3">
        <v>180100000000</v>
      </c>
      <c r="O28" s="2">
        <v>292870</v>
      </c>
      <c r="P28">
        <v>15575000000</v>
      </c>
      <c r="Q28">
        <v>73227000000</v>
      </c>
      <c r="R28" s="3">
        <v>305447000000</v>
      </c>
      <c r="S28" s="3">
        <v>449000000000</v>
      </c>
    </row>
    <row r="29" spans="1:22" x14ac:dyDescent="0.2">
      <c r="A29">
        <v>2021</v>
      </c>
      <c r="B29">
        <v>532800</v>
      </c>
      <c r="C29">
        <v>46279000000</v>
      </c>
      <c r="D29" s="1">
        <v>211676000000</v>
      </c>
      <c r="E29" s="3">
        <v>258000000000</v>
      </c>
      <c r="F29" s="3">
        <v>765000000000</v>
      </c>
      <c r="G29">
        <v>48400</v>
      </c>
      <c r="H29">
        <v>532800</v>
      </c>
      <c r="I29">
        <v>30000</v>
      </c>
      <c r="J29">
        <v>4</v>
      </c>
      <c r="K29" s="1">
        <v>19934444067.790001</v>
      </c>
      <c r="L29" s="2">
        <v>179780</v>
      </c>
      <c r="M29">
        <v>15523000000</v>
      </c>
      <c r="N29" s="3">
        <v>161619000000</v>
      </c>
      <c r="O29" s="2">
        <v>307366</v>
      </c>
      <c r="P29">
        <v>17364000000</v>
      </c>
      <c r="Q29">
        <v>85672000000</v>
      </c>
      <c r="R29" s="3">
        <v>320448000000</v>
      </c>
      <c r="S29" s="3">
        <v>479000000000</v>
      </c>
    </row>
    <row r="30" spans="1:22" x14ac:dyDescent="0.2">
      <c r="A30">
        <v>2022</v>
      </c>
      <c r="B30">
        <v>562800</v>
      </c>
      <c r="C30">
        <v>79169000000</v>
      </c>
      <c r="D30" s="1">
        <v>316181000000</v>
      </c>
      <c r="E30" s="3">
        <v>359000000000</v>
      </c>
      <c r="F30" s="3">
        <v>784000000000</v>
      </c>
      <c r="G30">
        <v>43200</v>
      </c>
      <c r="H30">
        <v>562800</v>
      </c>
      <c r="I30">
        <v>28300</v>
      </c>
      <c r="J30">
        <v>10.8</v>
      </c>
      <c r="K30" s="1">
        <v>28169549109.34</v>
      </c>
      <c r="L30" s="2">
        <v>997290</v>
      </c>
      <c r="M30">
        <v>64845000000</v>
      </c>
      <c r="N30" s="3">
        <v>177468000000</v>
      </c>
      <c r="O30" s="2">
        <v>318666</v>
      </c>
      <c r="P30">
        <v>22216000000</v>
      </c>
      <c r="Q30" s="3">
        <v>101364000000</v>
      </c>
      <c r="R30" s="3">
        <v>376661000000</v>
      </c>
      <c r="S30" s="3">
        <v>571000000000</v>
      </c>
    </row>
    <row r="31" spans="1:22" x14ac:dyDescent="0.2">
      <c r="A31">
        <v>2023</v>
      </c>
      <c r="B31">
        <v>592800</v>
      </c>
      <c r="C31" s="3">
        <v>118000000000</v>
      </c>
      <c r="D31" s="1">
        <v>347837000000</v>
      </c>
      <c r="E31" s="3">
        <v>360000000000</v>
      </c>
      <c r="F31" s="3">
        <v>826000000000</v>
      </c>
      <c r="G31">
        <v>37600</v>
      </c>
      <c r="H31">
        <v>592800</v>
      </c>
      <c r="I31">
        <v>26700</v>
      </c>
      <c r="J31">
        <v>7</v>
      </c>
      <c r="K31" s="1">
        <v>36603000000</v>
      </c>
      <c r="L31" s="2">
        <v>1295410</v>
      </c>
      <c r="M31">
        <v>85993000000</v>
      </c>
      <c r="N31" s="3">
        <v>202128000000</v>
      </c>
      <c r="O31" s="2">
        <v>331924</v>
      </c>
      <c r="P31">
        <v>27524000000</v>
      </c>
      <c r="Q31" s="3">
        <v>121069000000</v>
      </c>
      <c r="R31" s="3">
        <v>430237000000</v>
      </c>
      <c r="S31" s="3">
        <v>663000000000</v>
      </c>
    </row>
    <row r="33" spans="1:19" x14ac:dyDescent="0.2">
      <c r="A33">
        <v>2024</v>
      </c>
      <c r="B33">
        <v>556700</v>
      </c>
      <c r="C33">
        <v>163683000000</v>
      </c>
      <c r="D33">
        <v>361679000000</v>
      </c>
      <c r="E33">
        <v>380260000000</v>
      </c>
      <c r="F33">
        <v>903777000</v>
      </c>
      <c r="G33">
        <v>36500</v>
      </c>
      <c r="H33">
        <v>5567000</v>
      </c>
      <c r="I33">
        <v>35820</v>
      </c>
      <c r="J33">
        <v>3.4</v>
      </c>
      <c r="K33" s="1">
        <v>15927000000</v>
      </c>
      <c r="L33" s="2">
        <v>1400000</v>
      </c>
      <c r="M33">
        <v>65379000000</v>
      </c>
      <c r="N33" s="5">
        <v>571130000000</v>
      </c>
      <c r="O33">
        <v>508079</v>
      </c>
      <c r="P33">
        <v>31526000000</v>
      </c>
      <c r="Q33">
        <v>144700000000</v>
      </c>
      <c r="R33" s="5">
        <v>466929000000</v>
      </c>
    </row>
    <row r="38" spans="1:19" x14ac:dyDescent="0.2">
      <c r="A38">
        <f>MIN(A3:A31)</f>
        <v>1995</v>
      </c>
      <c r="B38">
        <f t="shared" ref="B38:S38" si="0">MIN(B3:B31)</f>
        <v>475000</v>
      </c>
      <c r="C38">
        <f t="shared" si="0"/>
        <v>16108000000</v>
      </c>
      <c r="D38">
        <f t="shared" si="0"/>
        <v>41205000000</v>
      </c>
      <c r="E38">
        <f t="shared" si="0"/>
        <v>42908000000</v>
      </c>
      <c r="F38">
        <f t="shared" si="0"/>
        <v>8134000000</v>
      </c>
      <c r="G38">
        <f t="shared" si="0"/>
        <v>24300</v>
      </c>
      <c r="H38">
        <f t="shared" si="0"/>
        <v>475000</v>
      </c>
      <c r="I38">
        <f t="shared" si="0"/>
        <v>8200</v>
      </c>
      <c r="J38">
        <f t="shared" si="0"/>
        <v>0.5</v>
      </c>
      <c r="K38">
        <f t="shared" si="0"/>
        <v>1000000000</v>
      </c>
      <c r="L38">
        <f t="shared" si="0"/>
        <v>179780</v>
      </c>
      <c r="M38">
        <f t="shared" si="0"/>
        <v>7472000000</v>
      </c>
      <c r="N38">
        <f t="shared" si="0"/>
        <v>15559900000</v>
      </c>
      <c r="O38">
        <f t="shared" si="0"/>
        <v>129316</v>
      </c>
      <c r="P38">
        <f t="shared" si="0"/>
        <v>5888360383.5586605</v>
      </c>
      <c r="Q38">
        <f t="shared" si="0"/>
        <v>19815172646.6064</v>
      </c>
      <c r="R38">
        <f t="shared" si="0"/>
        <v>37910198671.198799</v>
      </c>
      <c r="S38">
        <f t="shared" si="0"/>
        <v>70246000000</v>
      </c>
    </row>
    <row r="39" spans="1:19" x14ac:dyDescent="0.2">
      <c r="A39">
        <f>MAX(A3:A31)</f>
        <v>2023</v>
      </c>
      <c r="B39">
        <f t="shared" ref="B39:S39" si="1">MAX(B3:B31)</f>
        <v>592800</v>
      </c>
      <c r="C39">
        <f t="shared" si="1"/>
        <v>118000000000</v>
      </c>
      <c r="D39">
        <f t="shared" si="1"/>
        <v>347837000000</v>
      </c>
      <c r="E39">
        <f t="shared" si="1"/>
        <v>360000000000</v>
      </c>
      <c r="F39">
        <f t="shared" si="1"/>
        <v>826000000000</v>
      </c>
      <c r="G39">
        <f t="shared" si="1"/>
        <v>52200</v>
      </c>
      <c r="H39">
        <f t="shared" si="1"/>
        <v>592800</v>
      </c>
      <c r="I39">
        <f t="shared" si="1"/>
        <v>31800</v>
      </c>
      <c r="J39">
        <f t="shared" si="1"/>
        <v>10.8</v>
      </c>
      <c r="K39">
        <f t="shared" si="1"/>
        <v>36603000000</v>
      </c>
      <c r="L39">
        <f t="shared" si="1"/>
        <v>1399408</v>
      </c>
      <c r="M39">
        <f t="shared" si="1"/>
        <v>85993000000</v>
      </c>
      <c r="N39">
        <f t="shared" si="1"/>
        <v>202128000000</v>
      </c>
      <c r="O39">
        <f t="shared" si="1"/>
        <v>331924</v>
      </c>
      <c r="P39">
        <f t="shared" si="1"/>
        <v>27524000000</v>
      </c>
      <c r="Q39">
        <f t="shared" si="1"/>
        <v>121069000000</v>
      </c>
      <c r="R39">
        <f t="shared" si="1"/>
        <v>430237000000</v>
      </c>
      <c r="S39">
        <f t="shared" si="1"/>
        <v>663000000000</v>
      </c>
    </row>
    <row r="40" spans="1:19" x14ac:dyDescent="0.2">
      <c r="A40">
        <f>AVERAGE(A38,A39)</f>
        <v>2009</v>
      </c>
      <c r="B40">
        <f t="shared" ref="B40:S40" si="2">AVERAGE(B38,B39)</f>
        <v>533900</v>
      </c>
      <c r="C40">
        <f t="shared" si="2"/>
        <v>67054000000</v>
      </c>
      <c r="D40">
        <f t="shared" si="2"/>
        <v>194521000000</v>
      </c>
      <c r="E40">
        <f t="shared" si="2"/>
        <v>201454000000</v>
      </c>
      <c r="F40">
        <f t="shared" si="2"/>
        <v>417067000000</v>
      </c>
      <c r="G40">
        <f t="shared" si="2"/>
        <v>38250</v>
      </c>
      <c r="H40">
        <f t="shared" si="2"/>
        <v>533900</v>
      </c>
      <c r="I40">
        <f t="shared" si="2"/>
        <v>20000</v>
      </c>
      <c r="J40">
        <f t="shared" si="2"/>
        <v>5.65</v>
      </c>
      <c r="K40">
        <f t="shared" si="2"/>
        <v>18801500000</v>
      </c>
      <c r="L40">
        <f t="shared" si="2"/>
        <v>789594</v>
      </c>
      <c r="M40">
        <f t="shared" si="2"/>
        <v>46732500000</v>
      </c>
      <c r="N40">
        <f t="shared" si="2"/>
        <v>108843950000</v>
      </c>
      <c r="O40">
        <f t="shared" si="2"/>
        <v>230620</v>
      </c>
      <c r="P40">
        <f t="shared" si="2"/>
        <v>16706180191.779331</v>
      </c>
      <c r="Q40">
        <f t="shared" si="2"/>
        <v>70442086323.303192</v>
      </c>
      <c r="R40">
        <f t="shared" si="2"/>
        <v>234073599335.5994</v>
      </c>
      <c r="S40">
        <f t="shared" si="2"/>
        <v>366623000000</v>
      </c>
    </row>
    <row r="45" spans="1:19" x14ac:dyDescent="0.2">
      <c r="A45">
        <f>1.5*(A3-A$40)/(A$39-A$38)</f>
        <v>-0.75</v>
      </c>
      <c r="B45">
        <f t="shared" ref="B45:S45" si="3">1.5*(B3-B$40)/(B$39-B$38)</f>
        <v>-0.75</v>
      </c>
      <c r="C45">
        <f t="shared" si="3"/>
        <v>-0.75</v>
      </c>
      <c r="D45">
        <f t="shared" si="3"/>
        <v>-0.75</v>
      </c>
      <c r="E45">
        <f t="shared" si="3"/>
        <v>-0.75</v>
      </c>
      <c r="F45">
        <f t="shared" si="3"/>
        <v>-0.75</v>
      </c>
      <c r="G45">
        <f t="shared" si="3"/>
        <v>-0.75</v>
      </c>
      <c r="H45">
        <f t="shared" si="3"/>
        <v>-0.75</v>
      </c>
      <c r="I45">
        <f t="shared" si="3"/>
        <v>-0.64830508474576276</v>
      </c>
      <c r="J45">
        <f t="shared" si="3"/>
        <v>5.097087378640771E-2</v>
      </c>
      <c r="K45">
        <f t="shared" si="3"/>
        <v>-0.75</v>
      </c>
      <c r="L45">
        <f t="shared" si="3"/>
        <v>-0.45152825287710679</v>
      </c>
      <c r="M45">
        <f t="shared" si="3"/>
        <v>-0.75</v>
      </c>
      <c r="N45">
        <f t="shared" si="3"/>
        <v>-0.75</v>
      </c>
      <c r="O45">
        <f t="shared" si="3"/>
        <v>-0.75</v>
      </c>
      <c r="P45">
        <f t="shared" si="3"/>
        <v>-0.70126247836196154</v>
      </c>
      <c r="Q45">
        <f t="shared" si="3"/>
        <v>-0.75</v>
      </c>
      <c r="R45">
        <f t="shared" si="3"/>
        <v>-0.75</v>
      </c>
      <c r="S45">
        <f t="shared" si="3"/>
        <v>-0.75</v>
      </c>
    </row>
    <row r="46" spans="1:19" x14ac:dyDescent="0.2">
      <c r="A46">
        <f t="shared" ref="A46:S46" si="4">1.5*(A4-A$40)/(A$39-A$38)</f>
        <v>-0.6964285714285714</v>
      </c>
      <c r="B46">
        <f t="shared" si="4"/>
        <v>-0.65704584040747027</v>
      </c>
      <c r="C46">
        <f t="shared" si="4"/>
        <v>-0.71612589800965731</v>
      </c>
      <c r="D46">
        <f t="shared" si="4"/>
        <v>-0.70470140102794232</v>
      </c>
      <c r="E46">
        <f t="shared" si="4"/>
        <v>-0.71191483859573879</v>
      </c>
      <c r="F46">
        <f t="shared" si="4"/>
        <v>-0.74688763195926966</v>
      </c>
      <c r="G46">
        <f t="shared" si="4"/>
        <v>-0.55645161290322576</v>
      </c>
      <c r="H46">
        <f t="shared" si="4"/>
        <v>-0.65704584040747027</v>
      </c>
      <c r="I46">
        <f t="shared" si="4"/>
        <v>-0.75</v>
      </c>
      <c r="J46">
        <f t="shared" si="4"/>
        <v>0.13834951456310668</v>
      </c>
      <c r="K46">
        <f t="shared" si="4"/>
        <v>-0.75</v>
      </c>
      <c r="L46">
        <f t="shared" si="4"/>
        <v>-0.37231885460156705</v>
      </c>
      <c r="M46">
        <f t="shared" si="4"/>
        <v>-0.71989340431222226</v>
      </c>
      <c r="N46">
        <f t="shared" si="4"/>
        <v>-0.73674853846933108</v>
      </c>
      <c r="O46">
        <f t="shared" si="4"/>
        <v>-0.73491915422885568</v>
      </c>
      <c r="P46">
        <f t="shared" si="4"/>
        <v>-0.64984411361553995</v>
      </c>
      <c r="Q46">
        <f t="shared" si="4"/>
        <v>-0.71252933124243023</v>
      </c>
      <c r="R46">
        <f t="shared" si="4"/>
        <v>-0.7302839138567353</v>
      </c>
      <c r="S46">
        <f t="shared" si="4"/>
        <v>-0.72692381662544669</v>
      </c>
    </row>
    <row r="47" spans="1:19" x14ac:dyDescent="0.2">
      <c r="A47">
        <f t="shared" ref="A47:S47" si="5">1.5*(A5-A$40)/(A$39-A$38)</f>
        <v>-0.6428571428571429</v>
      </c>
      <c r="B47">
        <f t="shared" si="5"/>
        <v>-0.54881154499151108</v>
      </c>
      <c r="C47">
        <f t="shared" si="5"/>
        <v>-0.6813243434224473</v>
      </c>
      <c r="D47">
        <f t="shared" si="5"/>
        <v>-0.68645966500560929</v>
      </c>
      <c r="E47">
        <f t="shared" si="5"/>
        <v>-0.67954410707302615</v>
      </c>
      <c r="F47">
        <f t="shared" si="5"/>
        <v>-0.74545341168357648</v>
      </c>
      <c r="G47">
        <f t="shared" si="5"/>
        <v>-0.32526881720430106</v>
      </c>
      <c r="H47">
        <f t="shared" si="5"/>
        <v>-0.54881154499151108</v>
      </c>
      <c r="I47">
        <f t="shared" si="5"/>
        <v>-0.72457627118644063</v>
      </c>
      <c r="J47">
        <f t="shared" si="5"/>
        <v>0.13834951456310668</v>
      </c>
      <c r="K47">
        <f t="shared" si="5"/>
        <v>-0.75</v>
      </c>
      <c r="L47">
        <f t="shared" si="5"/>
        <v>-0.31173726742908492</v>
      </c>
      <c r="M47">
        <f t="shared" si="5"/>
        <v>-0.70040817106251829</v>
      </c>
      <c r="N47">
        <f t="shared" si="5"/>
        <v>-0.71148778917724953</v>
      </c>
      <c r="O47">
        <f t="shared" si="5"/>
        <v>-0.72887793176972282</v>
      </c>
      <c r="P47">
        <f t="shared" si="5"/>
        <v>-0.6400379590308698</v>
      </c>
      <c r="Q47">
        <f t="shared" si="5"/>
        <v>-0.69009144376640275</v>
      </c>
      <c r="R47">
        <f t="shared" si="5"/>
        <v>-0.70761082960381683</v>
      </c>
      <c r="S47">
        <f t="shared" si="5"/>
        <v>-0.70462957651909564</v>
      </c>
    </row>
    <row r="48" spans="1:19" x14ac:dyDescent="0.2">
      <c r="A48">
        <f t="shared" ref="A48:S48" si="6">1.5*(A6-A$40)/(A$39-A$38)</f>
        <v>-0.5892857142857143</v>
      </c>
      <c r="B48">
        <f t="shared" si="6"/>
        <v>-0.43930390492359933</v>
      </c>
      <c r="C48">
        <f t="shared" si="6"/>
        <v>-0.64831880814980569</v>
      </c>
      <c r="D48">
        <f t="shared" si="6"/>
        <v>-0.63012014401628014</v>
      </c>
      <c r="E48">
        <f t="shared" si="6"/>
        <v>-0.658763071916037</v>
      </c>
      <c r="F48">
        <f t="shared" si="6"/>
        <v>-0.74365788527705023</v>
      </c>
      <c r="G48">
        <f t="shared" si="6"/>
        <v>-0.20698924731182797</v>
      </c>
      <c r="H48">
        <f t="shared" si="6"/>
        <v>-0.43930390492359933</v>
      </c>
      <c r="I48">
        <f t="shared" si="6"/>
        <v>-0.63559322033898302</v>
      </c>
      <c r="J48">
        <f t="shared" si="6"/>
        <v>0.1674757281553397</v>
      </c>
      <c r="K48">
        <f t="shared" si="6"/>
        <v>-0.75</v>
      </c>
      <c r="L48">
        <f t="shared" si="6"/>
        <v>-0.2845937449779769</v>
      </c>
      <c r="M48">
        <f t="shared" si="6"/>
        <v>-0.66560219559098843</v>
      </c>
      <c r="N48">
        <f t="shared" si="6"/>
        <v>-0.69924453858939439</v>
      </c>
      <c r="O48">
        <f t="shared" si="6"/>
        <v>-0.70978441127694858</v>
      </c>
      <c r="P48">
        <f t="shared" si="6"/>
        <v>-0.58377012970539333</v>
      </c>
      <c r="Q48">
        <f t="shared" si="6"/>
        <v>-0.64405963575156189</v>
      </c>
      <c r="R48">
        <f t="shared" si="6"/>
        <v>-0.68053120290003377</v>
      </c>
      <c r="S48">
        <f t="shared" si="6"/>
        <v>-0.67470569578611028</v>
      </c>
    </row>
    <row r="49" spans="1:19" x14ac:dyDescent="0.2">
      <c r="A49">
        <f t="shared" ref="A49:S49" si="7">1.5*(A7-A$40)/(A$39-A$38)</f>
        <v>-0.5357142857142857</v>
      </c>
      <c r="B49">
        <f t="shared" si="7"/>
        <v>-0.34762308998302205</v>
      </c>
      <c r="C49">
        <f t="shared" si="7"/>
        <v>-0.579481215404546</v>
      </c>
      <c r="D49">
        <f t="shared" si="7"/>
        <v>-0.61011733935140489</v>
      </c>
      <c r="E49">
        <f t="shared" si="7"/>
        <v>-0.60830768357448306</v>
      </c>
      <c r="F49">
        <f t="shared" si="7"/>
        <v>-0.7429022602724652</v>
      </c>
      <c r="G49">
        <f t="shared" si="7"/>
        <v>4.0322580645161289E-2</v>
      </c>
      <c r="H49">
        <f t="shared" si="7"/>
        <v>-0.34762308998302205</v>
      </c>
      <c r="I49">
        <f t="shared" si="7"/>
        <v>-0.45127118644067798</v>
      </c>
      <c r="J49">
        <f t="shared" si="7"/>
        <v>0.18203883495145629</v>
      </c>
      <c r="K49">
        <f t="shared" si="7"/>
        <v>-0.75</v>
      </c>
      <c r="L49">
        <f t="shared" si="7"/>
        <v>-0.26013136792530184</v>
      </c>
      <c r="M49">
        <f t="shared" si="7"/>
        <v>-0.63163675959297516</v>
      </c>
      <c r="N49">
        <f t="shared" si="7"/>
        <v>-0.66770458079382278</v>
      </c>
      <c r="O49">
        <f t="shared" si="7"/>
        <v>-0.68493840322198529</v>
      </c>
      <c r="P49">
        <f t="shared" si="7"/>
        <v>-0.75000000000000011</v>
      </c>
      <c r="Q49">
        <f t="shared" si="7"/>
        <v>-0.61123815469581977</v>
      </c>
      <c r="R49">
        <f t="shared" si="7"/>
        <v>-0.65297421579365433</v>
      </c>
      <c r="S49">
        <f t="shared" si="7"/>
        <v>-0.65446120987795953</v>
      </c>
    </row>
    <row r="50" spans="1:19" x14ac:dyDescent="0.2">
      <c r="A50">
        <f t="shared" ref="A50:S50" si="8">1.5*(A8-A$40)/(A$39-A$38)</f>
        <v>-0.48214285714285715</v>
      </c>
      <c r="B50">
        <f t="shared" si="8"/>
        <v>-0.39346349745331072</v>
      </c>
      <c r="C50">
        <f t="shared" si="8"/>
        <v>-0.53243139795077143</v>
      </c>
      <c r="D50">
        <f t="shared" si="8"/>
        <v>-0.59555428004904898</v>
      </c>
      <c r="E50">
        <f t="shared" si="8"/>
        <v>-0.60049291688216666</v>
      </c>
      <c r="F50">
        <f t="shared" si="8"/>
        <v>-0.74052350874104067</v>
      </c>
      <c r="G50">
        <f t="shared" si="8"/>
        <v>-0.29838709677419356</v>
      </c>
      <c r="H50">
        <f t="shared" si="8"/>
        <v>-0.39346349745331072</v>
      </c>
      <c r="I50">
        <f t="shared" si="8"/>
        <v>-0.34322033898305082</v>
      </c>
      <c r="J50">
        <f t="shared" si="8"/>
        <v>-0.21116504854368934</v>
      </c>
      <c r="K50">
        <f t="shared" si="8"/>
        <v>-0.26742448209757602</v>
      </c>
      <c r="L50">
        <f t="shared" si="8"/>
        <v>-0.1637478805012676</v>
      </c>
      <c r="M50">
        <f t="shared" si="8"/>
        <v>-0.62082436545637476</v>
      </c>
      <c r="N50">
        <f t="shared" si="8"/>
        <v>-0.65650089699150072</v>
      </c>
      <c r="O50">
        <f t="shared" si="8"/>
        <v>-0.64191690357735132</v>
      </c>
      <c r="P50">
        <f t="shared" si="8"/>
        <v>-0.63890691810735378</v>
      </c>
      <c r="Q50">
        <f t="shared" si="8"/>
        <v>-0.56326581054708003</v>
      </c>
      <c r="R50">
        <f t="shared" si="8"/>
        <v>-0.62252965315092812</v>
      </c>
      <c r="S50">
        <f t="shared" si="8"/>
        <v>-0.62409448101573339</v>
      </c>
    </row>
    <row r="51" spans="1:19" x14ac:dyDescent="0.2">
      <c r="A51">
        <f t="shared" ref="A51:S51" si="9">1.5*(A9-A$40)/(A$39-A$38)</f>
        <v>-0.42857142857142855</v>
      </c>
      <c r="B51">
        <f t="shared" si="9"/>
        <v>-0.35780984719864178</v>
      </c>
      <c r="C51">
        <f t="shared" si="9"/>
        <v>-0.43560829113178662</v>
      </c>
      <c r="D51">
        <f t="shared" si="9"/>
        <v>-0.54142587857757829</v>
      </c>
      <c r="E51">
        <f t="shared" si="9"/>
        <v>-0.56041148941001351</v>
      </c>
      <c r="F51">
        <f t="shared" si="9"/>
        <v>-0.73657481787970158</v>
      </c>
      <c r="G51">
        <f t="shared" si="9"/>
        <v>-0.16935483870967741</v>
      </c>
      <c r="H51">
        <f t="shared" si="9"/>
        <v>-0.35780984719864178</v>
      </c>
      <c r="I51">
        <f t="shared" si="9"/>
        <v>-0.22245762711864406</v>
      </c>
      <c r="J51">
        <f t="shared" si="9"/>
        <v>-3.640776699029126E-2</v>
      </c>
      <c r="K51">
        <f t="shared" si="9"/>
        <v>-0.73121329052523665</v>
      </c>
      <c r="L51">
        <f t="shared" si="9"/>
        <v>-0.15899438189349541</v>
      </c>
      <c r="M51">
        <f t="shared" si="9"/>
        <v>-0.54571070159575141</v>
      </c>
      <c r="N51">
        <f t="shared" si="9"/>
        <v>-0.6211853741341633</v>
      </c>
      <c r="O51">
        <f t="shared" si="9"/>
        <v>-0.61880330490405122</v>
      </c>
      <c r="P51">
        <f t="shared" si="9"/>
        <v>-0.55147976517013242</v>
      </c>
      <c r="Q51">
        <f t="shared" si="9"/>
        <v>-0.50286083271605819</v>
      </c>
      <c r="R51">
        <f t="shared" si="9"/>
        <v>-0.59674615869135617</v>
      </c>
      <c r="S51">
        <f t="shared" si="9"/>
        <v>-0.59372775215350715</v>
      </c>
    </row>
    <row r="52" spans="1:19" x14ac:dyDescent="0.2">
      <c r="A52">
        <f t="shared" ref="A52:S52" si="10">1.5*(A10-A$40)/(A$39-A$38)</f>
        <v>-0.375</v>
      </c>
      <c r="B52">
        <f t="shared" si="10"/>
        <v>-0.30687606112054328</v>
      </c>
      <c r="C52">
        <f t="shared" si="10"/>
        <v>-0.40737251207160524</v>
      </c>
      <c r="D52">
        <f t="shared" si="10"/>
        <v>-0.59002648125440271</v>
      </c>
      <c r="E52">
        <f t="shared" si="10"/>
        <v>-0.5557850718403492</v>
      </c>
      <c r="F52">
        <f t="shared" si="10"/>
        <v>-0.73161373623552028</v>
      </c>
      <c r="G52">
        <f t="shared" si="10"/>
        <v>1.8817204301075269E-2</v>
      </c>
      <c r="H52">
        <f t="shared" si="10"/>
        <v>-0.30687606112054328</v>
      </c>
      <c r="I52">
        <f t="shared" si="10"/>
        <v>-0.19067796610169491</v>
      </c>
      <c r="J52">
        <f t="shared" si="10"/>
        <v>0.10922330097087378</v>
      </c>
      <c r="K52">
        <f t="shared" si="10"/>
        <v>-0.73019508691500723</v>
      </c>
      <c r="L52">
        <f t="shared" si="10"/>
        <v>-0.13276097301800222</v>
      </c>
      <c r="M52">
        <f t="shared" si="10"/>
        <v>-0.54261598807962197</v>
      </c>
      <c r="N52">
        <f t="shared" si="10"/>
        <v>-0.61038770829525524</v>
      </c>
      <c r="O52">
        <f t="shared" si="10"/>
        <v>-0.59492714996446339</v>
      </c>
      <c r="P52">
        <f t="shared" si="10"/>
        <v>-0.60425918401435064</v>
      </c>
      <c r="Q52">
        <f t="shared" si="10"/>
        <v>-0.47456409559825125</v>
      </c>
      <c r="R52">
        <f t="shared" si="10"/>
        <v>-0.56713194964427427</v>
      </c>
      <c r="S52">
        <f t="shared" si="10"/>
        <v>-0.56842214476831876</v>
      </c>
    </row>
    <row r="53" spans="1:19" x14ac:dyDescent="0.2">
      <c r="A53">
        <f t="shared" ref="A53:S53" si="11">1.5*(A11-A$40)/(A$39-A$38)</f>
        <v>-0.32142857142857145</v>
      </c>
      <c r="B53">
        <f t="shared" si="11"/>
        <v>-0.25212224108658743</v>
      </c>
      <c r="C53">
        <f t="shared" si="11"/>
        <v>-0.41517489106112354</v>
      </c>
      <c r="D53">
        <f t="shared" si="11"/>
        <v>-0.59619511336064079</v>
      </c>
      <c r="E53">
        <f t="shared" si="11"/>
        <v>-0.54287083874711439</v>
      </c>
      <c r="F53">
        <f t="shared" si="11"/>
        <v>-0.727498147618314</v>
      </c>
      <c r="G53">
        <f t="shared" si="11"/>
        <v>0.20698924731182797</v>
      </c>
      <c r="H53">
        <f t="shared" si="11"/>
        <v>-0.25212224108658743</v>
      </c>
      <c r="I53">
        <f t="shared" si="11"/>
        <v>-0.11440677966101695</v>
      </c>
      <c r="J53">
        <f t="shared" si="11"/>
        <v>-0.25485436893203889</v>
      </c>
      <c r="K53">
        <f t="shared" si="11"/>
        <v>-0.65851761021613353</v>
      </c>
      <c r="L53">
        <f t="shared" si="11"/>
        <v>-0.10770825202438776</v>
      </c>
      <c r="M53">
        <f t="shared" si="11"/>
        <v>-0.52185084244979052</v>
      </c>
      <c r="N53">
        <f t="shared" si="11"/>
        <v>-0.56513961925966982</v>
      </c>
      <c r="O53">
        <f t="shared" si="11"/>
        <v>-0.57174692016109929</v>
      </c>
      <c r="P53">
        <f t="shared" si="11"/>
        <v>-0.56955294196458628</v>
      </c>
      <c r="Q53">
        <f t="shared" si="11"/>
        <v>-0.43777789499623521</v>
      </c>
      <c r="R53">
        <f t="shared" si="11"/>
        <v>-0.53898026519094899</v>
      </c>
      <c r="S53">
        <f t="shared" si="11"/>
        <v>-0.51781092999794176</v>
      </c>
    </row>
    <row r="54" spans="1:19" x14ac:dyDescent="0.2">
      <c r="A54">
        <f t="shared" ref="A54:S54" si="12">1.5*(A12-A$40)/(A$39-A$38)</f>
        <v>-0.26785714285714285</v>
      </c>
      <c r="B54">
        <f t="shared" si="12"/>
        <v>-0.18972835314091679</v>
      </c>
      <c r="C54">
        <f t="shared" si="12"/>
        <v>-0.40217583323519018</v>
      </c>
      <c r="D54">
        <f t="shared" si="12"/>
        <v>-6.6592853974797153E-2</v>
      </c>
      <c r="E54">
        <f t="shared" si="12"/>
        <v>-0.48453918736518109</v>
      </c>
      <c r="F54">
        <f t="shared" si="12"/>
        <v>-0.7216035389660409</v>
      </c>
      <c r="G54">
        <f t="shared" si="12"/>
        <v>0.29301075268817206</v>
      </c>
      <c r="H54">
        <f t="shared" si="12"/>
        <v>-0.18972835314091679</v>
      </c>
      <c r="I54">
        <f t="shared" si="12"/>
        <v>-0.15889830508474576</v>
      </c>
      <c r="J54">
        <f t="shared" si="12"/>
        <v>-0.13834951456310682</v>
      </c>
      <c r="K54">
        <f t="shared" si="12"/>
        <v>-0.66824500503244111</v>
      </c>
      <c r="L54">
        <f t="shared" si="12"/>
        <v>-8.6993329113467383E-2</v>
      </c>
      <c r="M54">
        <f t="shared" si="12"/>
        <v>-0.44480775843404952</v>
      </c>
      <c r="N54">
        <f t="shared" si="12"/>
        <v>-0.53771692481190514</v>
      </c>
      <c r="O54">
        <f t="shared" si="12"/>
        <v>-0.55542229329542758</v>
      </c>
      <c r="P54">
        <f t="shared" si="12"/>
        <v>-0.49024163193247061</v>
      </c>
      <c r="Q54">
        <f t="shared" si="12"/>
        <v>-0.39068821806237441</v>
      </c>
      <c r="R54">
        <f t="shared" si="12"/>
        <v>-0.49720069320975396</v>
      </c>
      <c r="S54">
        <f t="shared" si="12"/>
        <v>-0.46973027596608374</v>
      </c>
    </row>
    <row r="55" spans="1:19" x14ac:dyDescent="0.2">
      <c r="A55">
        <f t="shared" ref="A55:S55" si="13">1.5*(A13-A$40)/(A$39-A$38)</f>
        <v>-0.21428571428571427</v>
      </c>
      <c r="B55">
        <f t="shared" si="13"/>
        <v>-6.7487266553480474E-2</v>
      </c>
      <c r="C55">
        <f t="shared" si="13"/>
        <v>-0.5261600518195737</v>
      </c>
      <c r="D55">
        <f t="shared" si="13"/>
        <v>-0.39894074982389316</v>
      </c>
      <c r="E55">
        <f t="shared" si="13"/>
        <v>-0.36639524175948934</v>
      </c>
      <c r="F55">
        <f t="shared" si="13"/>
        <v>-0.71731004834532797</v>
      </c>
      <c r="G55">
        <f t="shared" si="13"/>
        <v>0.65860215053763438</v>
      </c>
      <c r="H55">
        <f t="shared" si="13"/>
        <v>-6.7487266553480474E-2</v>
      </c>
      <c r="I55">
        <f t="shared" si="13"/>
        <v>-0.21610169491525424</v>
      </c>
      <c r="J55">
        <f t="shared" si="13"/>
        <v>-0.10922330097087378</v>
      </c>
      <c r="K55">
        <f t="shared" si="13"/>
        <v>-0.6116865667384771</v>
      </c>
      <c r="L55">
        <f t="shared" si="13"/>
        <v>-3.5089797872794003E-2</v>
      </c>
      <c r="M55">
        <f t="shared" si="13"/>
        <v>-0.40171100724646908</v>
      </c>
      <c r="N55">
        <f t="shared" si="13"/>
        <v>-0.51823047455593962</v>
      </c>
      <c r="O55">
        <f t="shared" si="13"/>
        <v>-0.52732616678512201</v>
      </c>
      <c r="P55">
        <f t="shared" si="13"/>
        <v>-0.4916056931317998</v>
      </c>
      <c r="Q55">
        <f t="shared" si="13"/>
        <v>-0.38238731487419914</v>
      </c>
      <c r="R55">
        <f t="shared" si="13"/>
        <v>-0.45919480130912921</v>
      </c>
      <c r="S55">
        <f t="shared" si="13"/>
        <v>-0.4444246685808953</v>
      </c>
    </row>
    <row r="56" spans="1:19" x14ac:dyDescent="0.2">
      <c r="A56">
        <f t="shared" ref="A56:S56" si="14">1.5*(A14-A$40)/(A$39-A$38)</f>
        <v>-0.16071428571428573</v>
      </c>
      <c r="B56">
        <f t="shared" si="14"/>
        <v>-1.9100169779286927E-2</v>
      </c>
      <c r="C56">
        <f t="shared" si="14"/>
        <v>-0.47844776822517959</v>
      </c>
      <c r="D56">
        <f t="shared" si="14"/>
        <v>-0.31438499569516554</v>
      </c>
      <c r="E56">
        <f t="shared" si="14"/>
        <v>-0.23867205732090371</v>
      </c>
      <c r="F56">
        <f t="shared" si="14"/>
        <v>-0.4017779196103029</v>
      </c>
      <c r="G56">
        <f t="shared" si="14"/>
        <v>0.52956989247311825</v>
      </c>
      <c r="H56">
        <f t="shared" si="14"/>
        <v>-1.9100169779286927E-2</v>
      </c>
      <c r="I56">
        <f t="shared" si="14"/>
        <v>-0.2097457627118644</v>
      </c>
      <c r="J56">
        <f t="shared" si="14"/>
        <v>0.47330097087378636</v>
      </c>
      <c r="K56">
        <f t="shared" si="14"/>
        <v>-0.36033306340041565</v>
      </c>
      <c r="L56">
        <f t="shared" si="14"/>
        <v>-1.6209860711626823E-3</v>
      </c>
      <c r="M56">
        <f t="shared" si="14"/>
        <v>-0.2825454337056329</v>
      </c>
      <c r="N56">
        <f t="shared" si="14"/>
        <v>-0.48214633155400094</v>
      </c>
      <c r="O56">
        <f t="shared" si="14"/>
        <v>-0.51817549158967069</v>
      </c>
      <c r="P56">
        <f t="shared" si="14"/>
        <v>-0.34243361504500797</v>
      </c>
      <c r="Q56">
        <f t="shared" si="14"/>
        <v>-0.31840405768004038</v>
      </c>
      <c r="R56">
        <f t="shared" si="14"/>
        <v>-0.36793789900277724</v>
      </c>
      <c r="S56">
        <f t="shared" si="14"/>
        <v>-0.36344672494829222</v>
      </c>
    </row>
    <row r="57" spans="1:19" x14ac:dyDescent="0.2">
      <c r="A57">
        <f t="shared" ref="A57:S57" si="15">1.5*(A15-A$40)/(A$39-A$38)</f>
        <v>-0.10714285714285714</v>
      </c>
      <c r="B57">
        <f t="shared" si="15"/>
        <v>-8.1494057724957561E-2</v>
      </c>
      <c r="C57">
        <f t="shared" si="15"/>
        <v>-0.3543457778824638</v>
      </c>
      <c r="D57">
        <f t="shared" si="15"/>
        <v>-0.25408796211745677</v>
      </c>
      <c r="E57">
        <f t="shared" si="15"/>
        <v>-0.17717570925788098</v>
      </c>
      <c r="F57">
        <f t="shared" si="15"/>
        <v>-0.37059921796480105</v>
      </c>
      <c r="G57">
        <f t="shared" si="15"/>
        <v>0.34677419354838712</v>
      </c>
      <c r="H57">
        <f t="shared" si="15"/>
        <v>-8.1494057724957561E-2</v>
      </c>
      <c r="I57">
        <f t="shared" si="15"/>
        <v>0.10169491525423729</v>
      </c>
      <c r="J57">
        <f t="shared" si="15"/>
        <v>0.45873786407766992</v>
      </c>
      <c r="K57">
        <f t="shared" si="15"/>
        <v>-9.5026951495660456E-2</v>
      </c>
      <c r="L57">
        <f t="shared" si="15"/>
        <v>0.1443600015742505</v>
      </c>
      <c r="M57">
        <f t="shared" si="15"/>
        <v>-0.11548821334420091</v>
      </c>
      <c r="N57">
        <f t="shared" si="15"/>
        <v>-0.46318891064442419</v>
      </c>
      <c r="O57">
        <f t="shared" si="15"/>
        <v>-0.49444740582800284</v>
      </c>
      <c r="P57">
        <f t="shared" si="15"/>
        <v>-0.32295187068836345</v>
      </c>
      <c r="Q57">
        <f t="shared" si="15"/>
        <v>-0.20420096726607156</v>
      </c>
      <c r="R57">
        <f t="shared" si="15"/>
        <v>-0.29101988091736664</v>
      </c>
      <c r="S57">
        <f t="shared" si="15"/>
        <v>-0.28246878131568914</v>
      </c>
    </row>
    <row r="58" spans="1:19" x14ac:dyDescent="0.2">
      <c r="A58">
        <f t="shared" ref="A58:S58" si="16">1.5*(A16-A$40)/(A$39-A$38)</f>
        <v>-5.3571428571428568E-2</v>
      </c>
      <c r="B58">
        <f t="shared" si="16"/>
        <v>-2.6740237691001697E-2</v>
      </c>
      <c r="C58">
        <f t="shared" si="16"/>
        <v>-0.41644093746319633</v>
      </c>
      <c r="D58">
        <f t="shared" si="16"/>
        <v>-0.24141805160583371</v>
      </c>
      <c r="E58">
        <f t="shared" si="16"/>
        <v>-9.6757407944697435E-2</v>
      </c>
      <c r="F58">
        <f t="shared" si="16"/>
        <v>-0.30273969085400299</v>
      </c>
      <c r="G58">
        <f t="shared" si="16"/>
        <v>-8.0645161290322578E-3</v>
      </c>
      <c r="H58">
        <f t="shared" si="16"/>
        <v>-2.6740237691001697E-2</v>
      </c>
      <c r="I58">
        <f t="shared" si="16"/>
        <v>0.25423728813559321</v>
      </c>
      <c r="J58">
        <f t="shared" si="16"/>
        <v>0.5898058252427183</v>
      </c>
      <c r="K58">
        <f t="shared" si="16"/>
        <v>-3.1241552088868928E-2</v>
      </c>
      <c r="L58">
        <f t="shared" si="16"/>
        <v>0.17324380876791939</v>
      </c>
      <c r="M58">
        <f t="shared" si="16"/>
        <v>-0.10543994600170654</v>
      </c>
      <c r="N58">
        <f t="shared" si="16"/>
        <v>-0.39185436845848781</v>
      </c>
      <c r="O58">
        <f t="shared" si="16"/>
        <v>-0.47431740108978915</v>
      </c>
      <c r="P58">
        <f t="shared" si="16"/>
        <v>-0.2832257514130706</v>
      </c>
      <c r="Q58">
        <f t="shared" si="16"/>
        <v>-7.6176177104245305E-2</v>
      </c>
      <c r="R58">
        <f t="shared" si="16"/>
        <v>-0.22534631512289918</v>
      </c>
      <c r="S58">
        <f t="shared" si="16"/>
        <v>-0.2090825198986426</v>
      </c>
    </row>
    <row r="59" spans="1:19" x14ac:dyDescent="0.2">
      <c r="A59">
        <f t="shared" ref="A59:S59" si="17">1.5*(A17-A$40)/(A$39-A$38)</f>
        <v>0</v>
      </c>
      <c r="B59">
        <f t="shared" si="17"/>
        <v>8.0220713073005087E-2</v>
      </c>
      <c r="C59">
        <f t="shared" si="17"/>
        <v>-0.49066658815216113</v>
      </c>
      <c r="D59">
        <f t="shared" si="17"/>
        <v>-0.27110673380469097</v>
      </c>
      <c r="E59">
        <f t="shared" si="17"/>
        <v>-0.17244522094534079</v>
      </c>
      <c r="F59">
        <f t="shared" si="17"/>
        <v>-0.24405037010952896</v>
      </c>
      <c r="G59">
        <f t="shared" si="17"/>
        <v>5.6451612903225805E-2</v>
      </c>
      <c r="H59">
        <f t="shared" si="17"/>
        <v>8.0220713073005087E-2</v>
      </c>
      <c r="I59">
        <f t="shared" si="17"/>
        <v>6.3559322033898302E-2</v>
      </c>
      <c r="J59">
        <f t="shared" si="17"/>
        <v>-0.45873786407766992</v>
      </c>
      <c r="K59">
        <f t="shared" si="17"/>
        <v>-0.27050545067606668</v>
      </c>
      <c r="L59">
        <f t="shared" si="17"/>
        <v>0.10055771103975966</v>
      </c>
      <c r="M59">
        <f t="shared" si="17"/>
        <v>-0.21088944358833941</v>
      </c>
      <c r="N59">
        <f t="shared" si="17"/>
        <v>-0.34262247940564328</v>
      </c>
      <c r="O59">
        <f t="shared" si="17"/>
        <v>-0.43527155887230512</v>
      </c>
      <c r="P59">
        <f t="shared" si="17"/>
        <v>-0.30111290459461609</v>
      </c>
      <c r="Q59">
        <f t="shared" si="17"/>
        <v>-4.9762360758661382E-2</v>
      </c>
      <c r="R59">
        <f t="shared" si="17"/>
        <v>-0.20072780839002521</v>
      </c>
      <c r="S59">
        <f t="shared" si="17"/>
        <v>-0.18883803399049184</v>
      </c>
    </row>
    <row r="60" spans="1:19" x14ac:dyDescent="0.2">
      <c r="A60">
        <f t="shared" ref="A60:S60" si="18">1.5*(A18-A$40)/(A$39-A$38)</f>
        <v>5.3571428571428568E-2</v>
      </c>
      <c r="B60">
        <f t="shared" si="18"/>
        <v>0.22920203735144312</v>
      </c>
      <c r="C60">
        <f t="shared" si="18"/>
        <v>-0.43890590036509247</v>
      </c>
      <c r="D60">
        <f t="shared" si="18"/>
        <v>-0.17968281197004879</v>
      </c>
      <c r="E60">
        <f t="shared" si="18"/>
        <v>-4.9452524819295345E-2</v>
      </c>
      <c r="F60">
        <f t="shared" si="18"/>
        <v>-0.23854824628973451</v>
      </c>
      <c r="G60">
        <f t="shared" si="18"/>
        <v>0.21236559139784947</v>
      </c>
      <c r="H60">
        <f t="shared" si="18"/>
        <v>0.22920203735144312</v>
      </c>
      <c r="I60">
        <f t="shared" si="18"/>
        <v>0.1271186440677966</v>
      </c>
      <c r="J60">
        <f t="shared" si="18"/>
        <v>-0.40048543689320393</v>
      </c>
      <c r="K60">
        <f t="shared" si="18"/>
        <v>6.6882941190489612E-2</v>
      </c>
      <c r="L60">
        <f t="shared" si="18"/>
        <v>0.17861962828009853</v>
      </c>
      <c r="M60">
        <f t="shared" si="18"/>
        <v>-0.13900421543281416</v>
      </c>
      <c r="N60">
        <f t="shared" si="18"/>
        <v>-0.27162963550574831</v>
      </c>
      <c r="O60">
        <f t="shared" si="18"/>
        <v>-0.38526859748874676</v>
      </c>
      <c r="P60">
        <f t="shared" si="18"/>
        <v>-0.29931032326624329</v>
      </c>
      <c r="Q60">
        <f t="shared" si="18"/>
        <v>-3.5718447188491133E-2</v>
      </c>
      <c r="R60">
        <f t="shared" si="18"/>
        <v>-0.15480945680409317</v>
      </c>
      <c r="S60">
        <f t="shared" si="18"/>
        <v>-0.1483490621741903</v>
      </c>
    </row>
    <row r="61" spans="1:19" x14ac:dyDescent="0.2">
      <c r="A61">
        <f t="shared" ref="A61:S61" si="19">1.5*(A19-A$40)/(A$39-A$38)</f>
        <v>0.10714285714285714</v>
      </c>
      <c r="B61">
        <f t="shared" si="19"/>
        <v>0.18718166383701187</v>
      </c>
      <c r="C61">
        <f t="shared" si="19"/>
        <v>-0.36235425744906369</v>
      </c>
      <c r="D61">
        <f t="shared" si="19"/>
        <v>-0.10329645959978084</v>
      </c>
      <c r="E61">
        <f t="shared" si="19"/>
        <v>5.9348706369129464E-2</v>
      </c>
      <c r="F61">
        <f t="shared" si="19"/>
        <v>-0.20370146209770304</v>
      </c>
      <c r="G61">
        <f t="shared" si="19"/>
        <v>0.239247311827957</v>
      </c>
      <c r="H61">
        <f t="shared" si="19"/>
        <v>0.18718166383701187</v>
      </c>
      <c r="I61">
        <f t="shared" si="19"/>
        <v>0.19067796610169491</v>
      </c>
      <c r="J61">
        <f t="shared" si="19"/>
        <v>0.12378640776699024</v>
      </c>
      <c r="K61">
        <f t="shared" si="19"/>
        <v>5.9463361025054035E-2</v>
      </c>
      <c r="L61">
        <f t="shared" si="19"/>
        <v>0.21528859619490534</v>
      </c>
      <c r="M61">
        <f t="shared" si="19"/>
        <v>-7.6708778543319617E-2</v>
      </c>
      <c r="N61">
        <f t="shared" si="19"/>
        <v>-0.23536137742733082</v>
      </c>
      <c r="O61">
        <f t="shared" si="19"/>
        <v>-0.30461531627576405</v>
      </c>
      <c r="P61">
        <f t="shared" si="19"/>
        <v>-0.23705193738629043</v>
      </c>
      <c r="Q61">
        <f t="shared" si="19"/>
        <v>-9.4939112394516669E-4</v>
      </c>
      <c r="R61">
        <f t="shared" si="19"/>
        <v>-9.6048495478182311E-2</v>
      </c>
      <c r="S61">
        <f t="shared" si="19"/>
        <v>-9.0146165188256855E-2</v>
      </c>
    </row>
    <row r="62" spans="1:19" x14ac:dyDescent="0.2">
      <c r="A62">
        <f t="shared" ref="A62:S62" si="20">1.5*(A20-A$40)/(A$39-A$38)</f>
        <v>0.16071428571428573</v>
      </c>
      <c r="B62">
        <f t="shared" si="20"/>
        <v>0.28522920203735147</v>
      </c>
      <c r="C62">
        <f t="shared" si="20"/>
        <v>-0.34591037569190908</v>
      </c>
      <c r="D62">
        <f t="shared" si="20"/>
        <v>-2.8871742023011297E-2</v>
      </c>
      <c r="E62">
        <f t="shared" si="20"/>
        <v>0.1303060310572326</v>
      </c>
      <c r="F62">
        <f t="shared" si="20"/>
        <v>-0.16335255408587715</v>
      </c>
      <c r="G62">
        <f t="shared" si="20"/>
        <v>0.34139784946236557</v>
      </c>
      <c r="H62">
        <f t="shared" si="20"/>
        <v>0.28522920203735147</v>
      </c>
      <c r="I62">
        <f t="shared" si="20"/>
        <v>0.25423728813559321</v>
      </c>
      <c r="J62">
        <f t="shared" si="20"/>
        <v>-0.25485436893203889</v>
      </c>
      <c r="K62">
        <f t="shared" si="20"/>
        <v>0.49323853377819282</v>
      </c>
      <c r="L62">
        <f t="shared" si="20"/>
        <v>0.21627127287992731</v>
      </c>
      <c r="M62">
        <f t="shared" si="20"/>
        <v>-4.4978413418066507E-2</v>
      </c>
      <c r="N62">
        <f t="shared" si="20"/>
        <v>-0.30017390432769592</v>
      </c>
      <c r="O62">
        <f t="shared" si="20"/>
        <v>-0.25292436626391851</v>
      </c>
      <c r="P62">
        <f t="shared" si="20"/>
        <v>-0.19982169995028298</v>
      </c>
      <c r="Q62">
        <f t="shared" si="20"/>
        <v>2.9360574239523537E-2</v>
      </c>
      <c r="R62">
        <f t="shared" si="20"/>
        <v>-4.206288978348121E-2</v>
      </c>
      <c r="S62">
        <f t="shared" si="20"/>
        <v>-3.9534950417879931E-2</v>
      </c>
    </row>
    <row r="63" spans="1:19" x14ac:dyDescent="0.2">
      <c r="A63">
        <f t="shared" ref="A63:S63" si="21">1.5*(A21-A$40)/(A$39-A$38)</f>
        <v>0.21428571428571427</v>
      </c>
      <c r="B63">
        <f t="shared" si="21"/>
        <v>0.47495755517826826</v>
      </c>
      <c r="C63">
        <f t="shared" si="21"/>
        <v>-0.34945824991167118</v>
      </c>
      <c r="D63">
        <f t="shared" si="21"/>
        <v>1.9053784340838528E-2</v>
      </c>
      <c r="E63">
        <f t="shared" si="21"/>
        <v>0.1255755427446924</v>
      </c>
      <c r="F63">
        <f t="shared" si="21"/>
        <v>-0.12116960480078644</v>
      </c>
      <c r="G63">
        <f t="shared" si="21"/>
        <v>0.38978494623655913</v>
      </c>
      <c r="H63">
        <f t="shared" si="21"/>
        <v>0.47495755517826826</v>
      </c>
      <c r="I63">
        <f t="shared" si="21"/>
        <v>0.40042372881355931</v>
      </c>
      <c r="J63">
        <f t="shared" si="21"/>
        <v>-0.31310679611650488</v>
      </c>
      <c r="K63">
        <f t="shared" si="21"/>
        <v>5.7963506337948986E-2</v>
      </c>
      <c r="L63">
        <f t="shared" si="21"/>
        <v>0.2495543723168048</v>
      </c>
      <c r="M63">
        <f t="shared" si="21"/>
        <v>-0.11797162542504552</v>
      </c>
      <c r="N63">
        <f t="shared" si="21"/>
        <v>-0.22052765183329839</v>
      </c>
      <c r="O63">
        <f t="shared" si="21"/>
        <v>-0.18859571191660743</v>
      </c>
      <c r="P63">
        <f t="shared" si="21"/>
        <v>-0.21812483343837605</v>
      </c>
      <c r="Q63">
        <f t="shared" si="21"/>
        <v>7.8277243657985732E-2</v>
      </c>
      <c r="R63">
        <f t="shared" si="21"/>
        <v>2.6818460938596352E-2</v>
      </c>
      <c r="S63">
        <f t="shared" si="21"/>
        <v>2.6259628783610066E-2</v>
      </c>
    </row>
    <row r="64" spans="1:19" x14ac:dyDescent="0.2">
      <c r="A64">
        <f>1.5*(A22-A$40)/(A$39-A$38)</f>
        <v>0.26785714285714285</v>
      </c>
      <c r="B64">
        <f t="shared" ref="B64:S64" si="22">1.5*(B22-B$40)/(B$39-B$38)</f>
        <v>0.532258064516129</v>
      </c>
      <c r="C64">
        <f t="shared" si="22"/>
        <v>-0.33430985749617242</v>
      </c>
      <c r="D64">
        <f t="shared" si="22"/>
        <v>7.7105455399306008E-2</v>
      </c>
      <c r="E64">
        <f t="shared" si="22"/>
        <v>0.20126335574533574</v>
      </c>
      <c r="F64">
        <f t="shared" si="22"/>
        <v>-7.1650490422636465E-2</v>
      </c>
      <c r="G64">
        <f t="shared" si="22"/>
        <v>0.35215053763440862</v>
      </c>
      <c r="H64">
        <f t="shared" si="22"/>
        <v>0.532258064516129</v>
      </c>
      <c r="I64">
        <f t="shared" si="22"/>
        <v>0.52754237288135597</v>
      </c>
      <c r="J64">
        <f t="shared" si="22"/>
        <v>-0.35679611650485438</v>
      </c>
      <c r="K64">
        <f t="shared" si="22"/>
        <v>0.35309250482698085</v>
      </c>
      <c r="L64">
        <f t="shared" si="22"/>
        <v>0.30592114972762185</v>
      </c>
      <c r="M64">
        <f t="shared" si="22"/>
        <v>-4.639204798716267E-2</v>
      </c>
      <c r="N64">
        <f t="shared" si="22"/>
        <v>-0.13361568778371008</v>
      </c>
      <c r="O64">
        <f t="shared" si="22"/>
        <v>-0.11809997630893153</v>
      </c>
      <c r="P64">
        <f t="shared" si="22"/>
        <v>-0.19718715800881506</v>
      </c>
      <c r="Q64">
        <f t="shared" si="22"/>
        <v>0.10986123493604794</v>
      </c>
      <c r="R64">
        <f t="shared" si="22"/>
        <v>9.9152290551772715E-2</v>
      </c>
      <c r="S64">
        <f t="shared" si="22"/>
        <v>8.4462525769543523E-2</v>
      </c>
    </row>
    <row r="65" spans="1:19" x14ac:dyDescent="0.2">
      <c r="A65">
        <f t="shared" ref="A65:S65" si="23">1.5*(A23-A$40)/(A$39-A$38)</f>
        <v>0.32142857142857145</v>
      </c>
      <c r="B65">
        <f t="shared" si="23"/>
        <v>0.64558573853989809</v>
      </c>
      <c r="C65">
        <f t="shared" si="23"/>
        <v>-0.30900365092450832</v>
      </c>
      <c r="D65">
        <f t="shared" si="23"/>
        <v>0.10885360953846956</v>
      </c>
      <c r="E65">
        <f t="shared" si="23"/>
        <v>0.18234140249517491</v>
      </c>
      <c r="F65">
        <f t="shared" si="23"/>
        <v>1.7111605079560711E-3</v>
      </c>
      <c r="G65">
        <f t="shared" si="23"/>
        <v>0.43279569892473119</v>
      </c>
      <c r="H65">
        <f t="shared" si="23"/>
        <v>0.64558573853989809</v>
      </c>
      <c r="I65">
        <f t="shared" si="23"/>
        <v>0.52754237288135597</v>
      </c>
      <c r="J65">
        <f t="shared" si="23"/>
        <v>-0.6334951456310679</v>
      </c>
      <c r="K65">
        <f t="shared" si="23"/>
        <v>-4.9813025798949542E-2</v>
      </c>
      <c r="L65">
        <f t="shared" si="23"/>
        <v>0.4447971020671877</v>
      </c>
      <c r="M65">
        <f t="shared" si="23"/>
        <v>6.6068312935393086E-2</v>
      </c>
      <c r="N65">
        <f t="shared" si="23"/>
        <v>-4.5755008492877398E-2</v>
      </c>
      <c r="O65">
        <f t="shared" si="23"/>
        <v>-2.5741826581378819E-2</v>
      </c>
      <c r="P65">
        <f t="shared" si="23"/>
        <v>-0.18914487208222872</v>
      </c>
      <c r="Q65">
        <f t="shared" si="23"/>
        <v>0.13780091952817988</v>
      </c>
      <c r="R65">
        <f t="shared" si="23"/>
        <v>0.2464580565719883</v>
      </c>
      <c r="S65">
        <f t="shared" si="23"/>
        <v>0.13760430127843928</v>
      </c>
    </row>
    <row r="66" spans="1:19" x14ac:dyDescent="0.2">
      <c r="A66">
        <f t="shared" ref="A66:S66" si="24">1.5*(A24-A$40)/(A$39-A$38)</f>
        <v>0.375</v>
      </c>
      <c r="B66">
        <f t="shared" si="24"/>
        <v>0.59974533106960948</v>
      </c>
      <c r="C66">
        <f t="shared" si="24"/>
        <v>-0.25849428806972086</v>
      </c>
      <c r="D66">
        <f t="shared" si="24"/>
        <v>0.12519241305538886</v>
      </c>
      <c r="E66">
        <f t="shared" si="24"/>
        <v>0.21072433237041616</v>
      </c>
      <c r="F66">
        <f t="shared" si="24"/>
        <v>6.9570687618754179E-2</v>
      </c>
      <c r="G66">
        <f t="shared" si="24"/>
        <v>0.22311827956989247</v>
      </c>
      <c r="H66">
        <f t="shared" si="24"/>
        <v>0.59974533106960948</v>
      </c>
      <c r="I66">
        <f t="shared" si="24"/>
        <v>0.54661016949152541</v>
      </c>
      <c r="J66">
        <f t="shared" si="24"/>
        <v>-0.67718446601941751</v>
      </c>
      <c r="K66">
        <f t="shared" si="24"/>
        <v>0.17662405712594442</v>
      </c>
      <c r="L66">
        <f t="shared" si="24"/>
        <v>0.59727187306293394</v>
      </c>
      <c r="M66">
        <f t="shared" si="24"/>
        <v>0.1744979050190395</v>
      </c>
      <c r="N66">
        <f t="shared" si="24"/>
        <v>1.3796972794384464E-2</v>
      </c>
      <c r="O66">
        <f t="shared" si="24"/>
        <v>8.6679696754323618E-2</v>
      </c>
      <c r="P66">
        <f t="shared" si="24"/>
        <v>-0.11711094899840799</v>
      </c>
      <c r="Q66">
        <f t="shared" si="24"/>
        <v>0.17174037732275799</v>
      </c>
      <c r="R66">
        <f t="shared" si="24"/>
        <v>0.23785935776126715</v>
      </c>
      <c r="S66">
        <f t="shared" si="24"/>
        <v>0.20592944121844811</v>
      </c>
    </row>
    <row r="67" spans="1:19" x14ac:dyDescent="0.2">
      <c r="A67">
        <f t="shared" ref="A67:S67" si="25">1.5*(A25-A$40)/(A$39-A$38)</f>
        <v>0.42857142857142855</v>
      </c>
      <c r="B67">
        <f t="shared" si="25"/>
        <v>0.67487266553480474</v>
      </c>
      <c r="C67">
        <f t="shared" si="25"/>
        <v>-0.31380285007655162</v>
      </c>
      <c r="D67">
        <f t="shared" si="25"/>
        <v>0.16234117769834852</v>
      </c>
      <c r="E67">
        <f t="shared" si="25"/>
        <v>0.23437677393311721</v>
      </c>
      <c r="F67">
        <f t="shared" si="25"/>
        <v>0.13559617345628747</v>
      </c>
      <c r="G67">
        <f t="shared" si="25"/>
        <v>0.19086021505376344</v>
      </c>
      <c r="H67">
        <f t="shared" si="25"/>
        <v>0.67487266553480474</v>
      </c>
      <c r="I67">
        <f t="shared" si="25"/>
        <v>0.53389830508474578</v>
      </c>
      <c r="J67">
        <f t="shared" si="25"/>
        <v>-0.28398058252427183</v>
      </c>
      <c r="K67">
        <f t="shared" si="25"/>
        <v>0.43630951424964193</v>
      </c>
      <c r="L67">
        <f t="shared" si="25"/>
        <v>0.67922268101421091</v>
      </c>
      <c r="M67">
        <f t="shared" si="25"/>
        <v>0.25845633652144012</v>
      </c>
      <c r="N67">
        <f t="shared" si="25"/>
        <v>0.10802530014509447</v>
      </c>
      <c r="O67">
        <f t="shared" si="25"/>
        <v>0.18213249230040274</v>
      </c>
      <c r="P67">
        <f t="shared" si="25"/>
        <v>-8.4872475240971371E-2</v>
      </c>
      <c r="Q67">
        <f t="shared" si="25"/>
        <v>0.18117705764364245</v>
      </c>
      <c r="R67">
        <f t="shared" si="25"/>
        <v>0.30901559767515402</v>
      </c>
      <c r="S67">
        <f t="shared" si="25"/>
        <v>0.26919345968141928</v>
      </c>
    </row>
    <row r="68" spans="1:19" x14ac:dyDescent="0.2">
      <c r="A68">
        <f>1.5*(A26-A$40)/(A$39-A$38)</f>
        <v>0.48214285714285715</v>
      </c>
      <c r="B68">
        <f t="shared" ref="B68:S68" si="26">1.5*(B26-B$40)/(B$39-B$38)</f>
        <v>0.63539898132427841</v>
      </c>
      <c r="C68">
        <f t="shared" si="26"/>
        <v>-0.35296195972205863</v>
      </c>
      <c r="D68">
        <f t="shared" si="26"/>
        <v>0.17601881082209292</v>
      </c>
      <c r="E68">
        <f t="shared" si="26"/>
        <v>0.27695116874597908</v>
      </c>
      <c r="F68">
        <f t="shared" si="26"/>
        <v>0.2217961132997337</v>
      </c>
      <c r="G68">
        <f t="shared" si="26"/>
        <v>9.9462365591397844E-2</v>
      </c>
      <c r="H68">
        <f t="shared" si="26"/>
        <v>0.63539898132427841</v>
      </c>
      <c r="I68">
        <f t="shared" si="26"/>
        <v>0.59745762711864403</v>
      </c>
      <c r="J68">
        <f t="shared" si="26"/>
        <v>-0.35679611650485438</v>
      </c>
      <c r="K68">
        <f t="shared" si="26"/>
        <v>0.32777691867230291</v>
      </c>
      <c r="L68">
        <f t="shared" si="26"/>
        <v>0.75</v>
      </c>
      <c r="M68">
        <f t="shared" si="26"/>
        <v>0.33057659642006598</v>
      </c>
      <c r="N68">
        <f t="shared" si="26"/>
        <v>0.14233180806365076</v>
      </c>
      <c r="O68">
        <f t="shared" si="26"/>
        <v>0.28380419331911871</v>
      </c>
      <c r="P68">
        <f t="shared" si="26"/>
        <v>-0.16113553144135906</v>
      </c>
      <c r="Q68">
        <f t="shared" si="26"/>
        <v>0.2370712410827272</v>
      </c>
      <c r="R68">
        <f t="shared" si="26"/>
        <v>0.38415576118209172</v>
      </c>
      <c r="S68">
        <f t="shared" si="26"/>
        <v>0.33751859962142811</v>
      </c>
    </row>
    <row r="69" spans="1:19" x14ac:dyDescent="0.2">
      <c r="A69">
        <f t="shared" ref="A69:S69" si="27">1.5*(A27-A$40)/(A$39-A$38)</f>
        <v>0.5357142857142857</v>
      </c>
      <c r="B69">
        <f t="shared" si="27"/>
        <v>0.72707979626485564</v>
      </c>
      <c r="C69">
        <f t="shared" si="27"/>
        <v>-0.34124366976798964</v>
      </c>
      <c r="D69">
        <f t="shared" si="27"/>
        <v>0.16741403376033812</v>
      </c>
      <c r="E69">
        <f t="shared" si="27"/>
        <v>0.31006458693376054</v>
      </c>
      <c r="F69">
        <f t="shared" si="27"/>
        <v>0.28415351659073734</v>
      </c>
      <c r="G69">
        <f t="shared" si="27"/>
        <v>7.7956989247311828E-2</v>
      </c>
      <c r="H69">
        <f t="shared" si="27"/>
        <v>0.72707979626485564</v>
      </c>
      <c r="I69">
        <f t="shared" si="27"/>
        <v>0.69279661016949157</v>
      </c>
      <c r="J69">
        <f t="shared" si="27"/>
        <v>-0.75</v>
      </c>
      <c r="K69">
        <f t="shared" si="27"/>
        <v>0.39912037769429548</v>
      </c>
      <c r="L69">
        <f t="shared" si="27"/>
        <v>0.73042025929217758</v>
      </c>
      <c r="M69">
        <f t="shared" si="27"/>
        <v>0.31280485475223191</v>
      </c>
      <c r="N69">
        <f t="shared" si="27"/>
        <v>0.45373552606260126</v>
      </c>
      <c r="O69">
        <f t="shared" si="27"/>
        <v>0.37501480691779199</v>
      </c>
      <c r="P69">
        <f t="shared" si="27"/>
        <v>-8.5080465394245158E-2</v>
      </c>
      <c r="Q69">
        <f t="shared" si="27"/>
        <v>0.21547205755392104</v>
      </c>
      <c r="R69">
        <f t="shared" si="27"/>
        <v>0.42507317988922277</v>
      </c>
      <c r="S69">
        <f t="shared" si="27"/>
        <v>0.36788532848365424</v>
      </c>
    </row>
    <row r="70" spans="1:19" x14ac:dyDescent="0.2">
      <c r="A70">
        <f t="shared" ref="A70:S70" si="28">1.5*(A28-A$40)/(A$39-A$38)</f>
        <v>0.5892857142857143</v>
      </c>
      <c r="B70">
        <f t="shared" si="28"/>
        <v>0.46095076400679119</v>
      </c>
      <c r="C70">
        <f t="shared" si="28"/>
        <v>-0.33740136615239663</v>
      </c>
      <c r="D70">
        <f t="shared" si="28"/>
        <v>-8.7515327819666575E-2</v>
      </c>
      <c r="E70">
        <f t="shared" si="28"/>
        <v>3.5696264806428415E-2</v>
      </c>
      <c r="F70">
        <f t="shared" si="28"/>
        <v>0.41620448826580392</v>
      </c>
      <c r="G70">
        <f t="shared" si="28"/>
        <v>0.75</v>
      </c>
      <c r="H70">
        <f t="shared" si="28"/>
        <v>0.46095076400679119</v>
      </c>
      <c r="I70">
        <f t="shared" si="28"/>
        <v>0.75</v>
      </c>
      <c r="J70">
        <f t="shared" si="28"/>
        <v>-0.45873786407766992</v>
      </c>
      <c r="K70">
        <f t="shared" si="28"/>
        <v>2.4304879771788822E-2</v>
      </c>
      <c r="L70">
        <f t="shared" si="28"/>
        <v>-0.59109908923048671</v>
      </c>
      <c r="M70">
        <f t="shared" si="28"/>
        <v>-0.55530049286178218</v>
      </c>
      <c r="N70">
        <f t="shared" si="28"/>
        <v>0.57289576835482592</v>
      </c>
      <c r="O70">
        <f t="shared" si="28"/>
        <v>0.46086531627576405</v>
      </c>
      <c r="P70">
        <f t="shared" si="28"/>
        <v>-7.842478048948405E-2</v>
      </c>
      <c r="Q70">
        <f t="shared" si="28"/>
        <v>4.1256420860669857E-2</v>
      </c>
      <c r="R70">
        <f t="shared" si="28"/>
        <v>0.27288500462877119</v>
      </c>
      <c r="S70">
        <f t="shared" si="28"/>
        <v>0.20846000195696698</v>
      </c>
    </row>
    <row r="71" spans="1:19" x14ac:dyDescent="0.2">
      <c r="A71">
        <f t="shared" ref="A71:S71" si="29">1.5*(A29-A$40)/(A$39-A$38)</f>
        <v>0.6428571428571429</v>
      </c>
      <c r="B71">
        <f t="shared" si="29"/>
        <v>-1.400679117147708E-2</v>
      </c>
      <c r="C71">
        <f t="shared" si="29"/>
        <v>-0.30583853491932633</v>
      </c>
      <c r="D71">
        <f t="shared" si="29"/>
        <v>8.3919812674476249E-2</v>
      </c>
      <c r="E71">
        <f t="shared" si="29"/>
        <v>0.26749019212089864</v>
      </c>
      <c r="F71">
        <f t="shared" si="29"/>
        <v>0.63812348233084637</v>
      </c>
      <c r="G71">
        <f t="shared" si="29"/>
        <v>0.54569892473118276</v>
      </c>
      <c r="H71">
        <f t="shared" si="29"/>
        <v>-1.400679117147708E-2</v>
      </c>
      <c r="I71">
        <f t="shared" si="29"/>
        <v>0.63559322033898302</v>
      </c>
      <c r="J71">
        <f t="shared" si="29"/>
        <v>-0.24029126213592236</v>
      </c>
      <c r="K71">
        <f t="shared" si="29"/>
        <v>4.7732384958711384E-2</v>
      </c>
      <c r="L71">
        <f t="shared" si="29"/>
        <v>-0.75</v>
      </c>
      <c r="M71">
        <f t="shared" si="29"/>
        <v>-0.59620037951630778</v>
      </c>
      <c r="N71">
        <f t="shared" si="29"/>
        <v>0.4243092736646833</v>
      </c>
      <c r="O71">
        <f t="shared" si="29"/>
        <v>0.56818585643212505</v>
      </c>
      <c r="P71">
        <f t="shared" si="29"/>
        <v>4.5606680912782832E-2</v>
      </c>
      <c r="Q71">
        <f t="shared" si="29"/>
        <v>0.22561982210620651</v>
      </c>
      <c r="R71">
        <f t="shared" si="29"/>
        <v>0.33023897566462185</v>
      </c>
      <c r="S71">
        <f t="shared" si="29"/>
        <v>0.28437682411253234</v>
      </c>
    </row>
    <row r="72" spans="1:19" x14ac:dyDescent="0.2">
      <c r="A72">
        <f t="shared" ref="A72:S72" si="30">1.5*(A30-A$40)/(A$39-A$38)</f>
        <v>0.6964285714285714</v>
      </c>
      <c r="B72">
        <f t="shared" si="30"/>
        <v>0.36799660441426146</v>
      </c>
      <c r="C72">
        <f t="shared" si="30"/>
        <v>0.17835060652455542</v>
      </c>
      <c r="D72">
        <f t="shared" si="30"/>
        <v>0.59514336403245582</v>
      </c>
      <c r="E72">
        <f t="shared" si="30"/>
        <v>0.74526951168745981</v>
      </c>
      <c r="F72">
        <f t="shared" si="30"/>
        <v>0.67297026652287784</v>
      </c>
      <c r="G72">
        <f t="shared" si="30"/>
        <v>0.2661290322580645</v>
      </c>
      <c r="H72">
        <f t="shared" si="30"/>
        <v>0.36799660441426146</v>
      </c>
      <c r="I72">
        <f t="shared" si="30"/>
        <v>0.52754237288135597</v>
      </c>
      <c r="J72">
        <f t="shared" si="30"/>
        <v>0.75</v>
      </c>
      <c r="K72">
        <f t="shared" si="30"/>
        <v>0.39468791012021459</v>
      </c>
      <c r="L72">
        <f t="shared" si="30"/>
        <v>0.25544182324446468</v>
      </c>
      <c r="M72">
        <f t="shared" si="30"/>
        <v>0.34600616395613915</v>
      </c>
      <c r="N72">
        <f t="shared" si="30"/>
        <v>0.55173459449927398</v>
      </c>
      <c r="O72">
        <f t="shared" si="30"/>
        <v>0.65184494195688225</v>
      </c>
      <c r="P72">
        <f t="shared" si="30"/>
        <v>0.38199608880758379</v>
      </c>
      <c r="Q72">
        <f t="shared" si="30"/>
        <v>0.45808510875505837</v>
      </c>
      <c r="R72">
        <f t="shared" si="30"/>
        <v>0.54516056581449668</v>
      </c>
      <c r="S72">
        <f t="shared" si="30"/>
        <v>0.5171884120562662</v>
      </c>
    </row>
    <row r="73" spans="1:19" x14ac:dyDescent="0.2">
      <c r="A73">
        <f t="shared" ref="A73:S73" si="31">1.5*(A31-A$40)/(A$39-A$38)</f>
        <v>0.75</v>
      </c>
      <c r="B73">
        <f t="shared" si="31"/>
        <v>0.75</v>
      </c>
      <c r="C73">
        <f t="shared" si="31"/>
        <v>0.75</v>
      </c>
      <c r="D73">
        <f t="shared" si="31"/>
        <v>0.75</v>
      </c>
      <c r="E73">
        <f t="shared" si="31"/>
        <v>0.75</v>
      </c>
      <c r="F73">
        <f t="shared" si="31"/>
        <v>0.75</v>
      </c>
      <c r="G73">
        <f t="shared" si="31"/>
        <v>-3.4946236559139782E-2</v>
      </c>
      <c r="H73">
        <f t="shared" si="31"/>
        <v>0.75</v>
      </c>
      <c r="I73">
        <f t="shared" si="31"/>
        <v>0.42584745762711862</v>
      </c>
      <c r="J73">
        <f t="shared" si="31"/>
        <v>0.19660194174757276</v>
      </c>
      <c r="K73">
        <f t="shared" si="31"/>
        <v>0.75</v>
      </c>
      <c r="L73">
        <f t="shared" si="31"/>
        <v>0.62209460589622412</v>
      </c>
      <c r="M73">
        <f t="shared" si="31"/>
        <v>0.75</v>
      </c>
      <c r="N73">
        <f t="shared" si="31"/>
        <v>0.75</v>
      </c>
      <c r="O73">
        <f t="shared" si="31"/>
        <v>0.75</v>
      </c>
      <c r="P73">
        <f t="shared" si="31"/>
        <v>0.75</v>
      </c>
      <c r="Q73">
        <f t="shared" si="31"/>
        <v>0.75000000000000011</v>
      </c>
      <c r="R73">
        <f t="shared" si="31"/>
        <v>0.75</v>
      </c>
      <c r="S73">
        <f t="shared" si="31"/>
        <v>0.75</v>
      </c>
    </row>
    <row r="75" spans="1:19" x14ac:dyDescent="0.2">
      <c r="A75" s="4">
        <f t="shared" ref="A75:S75" si="32">1.5*(A33-A$40)/(A$39-A$38)</f>
        <v>0.8035714285714286</v>
      </c>
      <c r="B75" s="4">
        <f t="shared" si="32"/>
        <v>0.29032258064516131</v>
      </c>
      <c r="C75" s="4">
        <f t="shared" si="32"/>
        <v>1.4225209044871039</v>
      </c>
      <c r="D75" s="4">
        <f t="shared" si="32"/>
        <v>0.8177130893057476</v>
      </c>
      <c r="E75" s="4">
        <f t="shared" si="32"/>
        <v>0.84583969321206465</v>
      </c>
      <c r="F75" s="4">
        <f t="shared" si="32"/>
        <v>-0.76326052739690853</v>
      </c>
      <c r="G75" s="4">
        <f t="shared" si="32"/>
        <v>-9.4086021505376344E-2</v>
      </c>
      <c r="H75" s="4">
        <f t="shared" si="32"/>
        <v>64.088709677419359</v>
      </c>
      <c r="I75" s="4">
        <f t="shared" si="32"/>
        <v>1.0055084745762712</v>
      </c>
      <c r="J75" s="4">
        <f t="shared" si="32"/>
        <v>-0.32766990291262144</v>
      </c>
      <c r="K75" s="4">
        <f t="shared" si="32"/>
        <v>-0.12110636744094599</v>
      </c>
      <c r="L75" s="4">
        <f>1.5*(L33-L$40)/(L$39-L$38)</f>
        <v>0.75072809086049186</v>
      </c>
      <c r="M75" s="4">
        <f t="shared" si="32"/>
        <v>0.35620725665745467</v>
      </c>
      <c r="N75" s="4">
        <f t="shared" si="32"/>
        <v>3.7167611987258273</v>
      </c>
      <c r="O75" s="4">
        <f t="shared" si="32"/>
        <v>2.0541563018242122</v>
      </c>
      <c r="P75" s="4">
        <f t="shared" si="32"/>
        <v>1.0274588644672287</v>
      </c>
      <c r="Q75" s="4">
        <f t="shared" si="32"/>
        <v>1.1000756556716174</v>
      </c>
      <c r="R75" s="4">
        <f t="shared" si="32"/>
        <v>0.89028610794263263</v>
      </c>
      <c r="S75" s="4">
        <f t="shared" si="32"/>
        <v>-0.92776176963799484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92E6-D615-F94B-A637-7DEECA2B4176}">
  <dimension ref="A1:S29"/>
  <sheetViews>
    <sheetView workbookViewId="0">
      <selection activeCell="A28" sqref="A28:R28"/>
    </sheetView>
  </sheetViews>
  <sheetFormatPr baseColWidth="10" defaultRowHeight="15" x14ac:dyDescent="0.2"/>
  <sheetData>
    <row r="1" spans="1:19" x14ac:dyDescent="0.2">
      <c r="A1" s="4">
        <v>-0.75</v>
      </c>
      <c r="B1" s="4">
        <v>-0.75</v>
      </c>
      <c r="C1" s="4">
        <v>-0.75</v>
      </c>
      <c r="D1" s="4">
        <v>-0.75</v>
      </c>
      <c r="E1" s="4">
        <v>-0.75</v>
      </c>
      <c r="F1" s="4">
        <v>-0.75</v>
      </c>
      <c r="G1" s="4">
        <v>-0.75</v>
      </c>
      <c r="H1" s="4">
        <v>-0.75</v>
      </c>
      <c r="I1" s="4">
        <v>-0.64830508474576276</v>
      </c>
      <c r="J1" s="4">
        <v>5.097087378640771E-2</v>
      </c>
      <c r="K1" s="4">
        <v>-0.75</v>
      </c>
      <c r="L1" s="4">
        <v>-0.45152825287710679</v>
      </c>
      <c r="M1" s="4">
        <v>-0.75</v>
      </c>
      <c r="N1" s="4">
        <v>-0.75</v>
      </c>
      <c r="O1" s="4">
        <v>-0.75</v>
      </c>
      <c r="P1" s="4">
        <v>-0.70126247836196176</v>
      </c>
      <c r="Q1" s="4">
        <v>-0.74999999999999989</v>
      </c>
      <c r="R1" s="4">
        <v>-0.74999999999999978</v>
      </c>
      <c r="S1" s="4">
        <v>-0.75</v>
      </c>
    </row>
    <row r="2" spans="1:19" x14ac:dyDescent="0.2">
      <c r="A2" s="4">
        <v>-0.6964285714285714</v>
      </c>
      <c r="B2" s="4">
        <v>-0.65704584040747027</v>
      </c>
      <c r="C2" s="4">
        <v>-0.71612589800965731</v>
      </c>
      <c r="D2" s="4">
        <v>-0.70470140102794232</v>
      </c>
      <c r="E2" s="4">
        <v>-0.71191483859573879</v>
      </c>
      <c r="F2" s="4">
        <v>-0.74688763195926966</v>
      </c>
      <c r="G2" s="4">
        <v>-0.55645161290322576</v>
      </c>
      <c r="H2" s="4">
        <v>-0.65704584040747027</v>
      </c>
      <c r="I2" s="4">
        <v>-0.75</v>
      </c>
      <c r="J2" s="4">
        <v>0.13834951456310668</v>
      </c>
      <c r="K2" s="4">
        <v>-0.75</v>
      </c>
      <c r="L2" s="4">
        <v>-0.37231885460156705</v>
      </c>
      <c r="M2" s="4">
        <v>-0.71989340431222226</v>
      </c>
      <c r="N2" s="4">
        <v>-0.73674853846933108</v>
      </c>
      <c r="O2" s="4">
        <v>-0.73491915422885568</v>
      </c>
      <c r="P2" s="4">
        <v>-0.64984411361553995</v>
      </c>
      <c r="Q2" s="4">
        <v>-0.71252933124242979</v>
      </c>
      <c r="R2" s="4">
        <v>-0.7302839138567353</v>
      </c>
      <c r="S2" s="4">
        <v>-0.72692381662544669</v>
      </c>
    </row>
    <row r="3" spans="1:19" x14ac:dyDescent="0.2">
      <c r="A3" s="4">
        <v>-0.6428571428571429</v>
      </c>
      <c r="B3" s="4">
        <v>-0.54881154499151108</v>
      </c>
      <c r="C3" s="4">
        <v>-0.6813243434224473</v>
      </c>
      <c r="D3" s="4">
        <v>-0.68645966500560929</v>
      </c>
      <c r="E3" s="4">
        <v>-0.67954410707302615</v>
      </c>
      <c r="F3" s="4">
        <v>-0.74545341168357648</v>
      </c>
      <c r="G3" s="4">
        <v>-0.32526881720430106</v>
      </c>
      <c r="H3" s="4">
        <v>-0.54881154499151108</v>
      </c>
      <c r="I3" s="4">
        <v>-0.72457627118644063</v>
      </c>
      <c r="J3" s="4">
        <v>0.13834951456310668</v>
      </c>
      <c r="K3" s="4">
        <v>-0.75</v>
      </c>
      <c r="L3" s="4">
        <v>-0.31173726742908492</v>
      </c>
      <c r="M3" s="4">
        <v>-0.70040817106251829</v>
      </c>
      <c r="N3" s="4">
        <v>-0.71148778917724953</v>
      </c>
      <c r="O3" s="4">
        <v>-0.72887793176972282</v>
      </c>
      <c r="P3" s="4">
        <v>-0.6400379590308698</v>
      </c>
      <c r="Q3" s="4">
        <v>-0.6900914437664023</v>
      </c>
      <c r="R3" s="4">
        <v>-0.70761082960381683</v>
      </c>
      <c r="S3" s="4">
        <v>-0.70462957651909564</v>
      </c>
    </row>
    <row r="4" spans="1:19" x14ac:dyDescent="0.2">
      <c r="A4" s="4">
        <v>-0.5892857142857143</v>
      </c>
      <c r="B4" s="4">
        <v>-0.43930390492359933</v>
      </c>
      <c r="C4" s="4">
        <v>-0.64831880814980569</v>
      </c>
      <c r="D4" s="4">
        <v>-0.63012014401628014</v>
      </c>
      <c r="E4" s="4">
        <v>-0.658763071916037</v>
      </c>
      <c r="F4" s="4">
        <v>-0.74365788527705023</v>
      </c>
      <c r="G4" s="4">
        <v>-0.20698924731182797</v>
      </c>
      <c r="H4" s="4">
        <v>-0.43930390492359933</v>
      </c>
      <c r="I4" s="4">
        <v>-0.63559322033898302</v>
      </c>
      <c r="J4" s="4">
        <v>0.1674757281553397</v>
      </c>
      <c r="K4" s="4">
        <v>-0.75</v>
      </c>
      <c r="L4" s="4">
        <v>-0.2845937449779769</v>
      </c>
      <c r="M4" s="4">
        <v>-0.66560219559098843</v>
      </c>
      <c r="N4" s="4">
        <v>-0.69924453858939439</v>
      </c>
      <c r="O4" s="4">
        <v>-0.70978441127694858</v>
      </c>
      <c r="P4" s="4">
        <v>-0.58377012970539333</v>
      </c>
      <c r="Q4" s="4">
        <v>-0.64405963575156133</v>
      </c>
      <c r="R4" s="4">
        <v>-0.68053120290003377</v>
      </c>
      <c r="S4" s="4">
        <v>-0.67470569578611028</v>
      </c>
    </row>
    <row r="5" spans="1:19" x14ac:dyDescent="0.2">
      <c r="A5" s="4">
        <v>-0.5357142857142857</v>
      </c>
      <c r="B5" s="4">
        <v>-0.34762308998302205</v>
      </c>
      <c r="C5" s="4">
        <v>-0.579481215404546</v>
      </c>
      <c r="D5" s="4">
        <v>-0.61011733935140489</v>
      </c>
      <c r="E5" s="4">
        <v>-0.60830768357448306</v>
      </c>
      <c r="F5" s="4">
        <v>-0.7429022602724652</v>
      </c>
      <c r="G5" s="4">
        <v>4.0322580645161289E-2</v>
      </c>
      <c r="H5" s="4">
        <v>-0.34762308998302205</v>
      </c>
      <c r="I5" s="4">
        <v>-0.45127118644067798</v>
      </c>
      <c r="J5" s="4">
        <v>0.18203883495145629</v>
      </c>
      <c r="K5" s="4">
        <v>-0.75</v>
      </c>
      <c r="L5" s="4">
        <v>-0.26013136792530184</v>
      </c>
      <c r="M5" s="4">
        <v>-0.63163675959297516</v>
      </c>
      <c r="N5" s="4">
        <v>-0.66770458079382278</v>
      </c>
      <c r="O5" s="4">
        <v>-0.68493840322198529</v>
      </c>
      <c r="P5" s="4">
        <v>-0.75000000000000011</v>
      </c>
      <c r="Q5" s="4">
        <v>-0.61123815469581932</v>
      </c>
      <c r="R5" s="4">
        <v>-0.65297421579365433</v>
      </c>
      <c r="S5" s="4">
        <v>-0.65446120987795953</v>
      </c>
    </row>
    <row r="6" spans="1:19" x14ac:dyDescent="0.2">
      <c r="A6" s="4">
        <v>-0.48214285714285715</v>
      </c>
      <c r="B6" s="4">
        <v>-0.39346349745331072</v>
      </c>
      <c r="C6" s="4">
        <v>-0.53243139795077143</v>
      </c>
      <c r="D6" s="4">
        <v>-0.59555428004904898</v>
      </c>
      <c r="E6" s="4">
        <v>-0.60049291688216666</v>
      </c>
      <c r="F6" s="4">
        <v>-0.74052350874104067</v>
      </c>
      <c r="G6" s="4">
        <v>-0.29838709677419356</v>
      </c>
      <c r="H6" s="4">
        <v>-0.39346349745331072</v>
      </c>
      <c r="I6" s="4">
        <v>-0.34322033898305082</v>
      </c>
      <c r="J6" s="4">
        <v>-0.21116504854368934</v>
      </c>
      <c r="K6" s="4">
        <v>-0.26742448209757602</v>
      </c>
      <c r="L6" s="4">
        <v>-0.1637478805012676</v>
      </c>
      <c r="M6" s="4">
        <v>-0.62082436545637476</v>
      </c>
      <c r="N6" s="4">
        <v>-0.65650089699150072</v>
      </c>
      <c r="O6" s="4">
        <v>-0.64191690357735132</v>
      </c>
      <c r="P6" s="4">
        <v>-0.63890691810735378</v>
      </c>
      <c r="Q6" s="4">
        <v>-0.56326581054707958</v>
      </c>
      <c r="R6" s="4">
        <v>-0.62252965315092812</v>
      </c>
      <c r="S6" s="4">
        <v>-0.62409448101573339</v>
      </c>
    </row>
    <row r="7" spans="1:19" x14ac:dyDescent="0.2">
      <c r="A7" s="4">
        <v>-0.42857142857142855</v>
      </c>
      <c r="B7" s="4">
        <v>-0.35780984719864178</v>
      </c>
      <c r="C7" s="4">
        <v>-0.43560829113178662</v>
      </c>
      <c r="D7" s="4">
        <v>-0.54142587857757829</v>
      </c>
      <c r="E7" s="4">
        <v>-0.56041148941001351</v>
      </c>
      <c r="F7" s="4">
        <v>-0.73657481787970158</v>
      </c>
      <c r="G7" s="4">
        <v>-0.16935483870967741</v>
      </c>
      <c r="H7" s="4">
        <v>-0.35780984719864178</v>
      </c>
      <c r="I7" s="4">
        <v>-0.22245762711864406</v>
      </c>
      <c r="J7" s="4">
        <v>-3.640776699029126E-2</v>
      </c>
      <c r="K7" s="4">
        <v>-0.73121329052523665</v>
      </c>
      <c r="L7" s="4">
        <v>-0.15899438189349541</v>
      </c>
      <c r="M7" s="4">
        <v>-0.54571070159575141</v>
      </c>
      <c r="N7" s="4">
        <v>-0.6211853741341633</v>
      </c>
      <c r="O7" s="4">
        <v>-0.61880330490405122</v>
      </c>
      <c r="P7" s="4">
        <v>-0.55147976517013242</v>
      </c>
      <c r="Q7" s="4">
        <v>-0.50286083271605775</v>
      </c>
      <c r="R7" s="4">
        <v>-0.59674615869135617</v>
      </c>
      <c r="S7" s="4">
        <v>-0.59372775215350715</v>
      </c>
    </row>
    <row r="8" spans="1:19" x14ac:dyDescent="0.2">
      <c r="A8" s="4">
        <v>-0.375</v>
      </c>
      <c r="B8" s="4">
        <v>-0.30687606112054328</v>
      </c>
      <c r="C8" s="4">
        <v>-0.40737251207160524</v>
      </c>
      <c r="D8" s="4">
        <v>-0.59002648125440271</v>
      </c>
      <c r="E8" s="4">
        <v>-0.5557850718403492</v>
      </c>
      <c r="F8" s="4">
        <v>-0.73161373623552028</v>
      </c>
      <c r="G8" s="4">
        <v>1.8817204301075269E-2</v>
      </c>
      <c r="H8" s="4">
        <v>-0.30687606112054328</v>
      </c>
      <c r="I8" s="4">
        <v>-0.19067796610169491</v>
      </c>
      <c r="J8" s="4">
        <v>0.10922330097087378</v>
      </c>
      <c r="K8" s="4">
        <v>-0.73019508691500723</v>
      </c>
      <c r="L8" s="4">
        <v>-0.13276097301800222</v>
      </c>
      <c r="M8" s="4">
        <v>-0.54261598807962197</v>
      </c>
      <c r="N8" s="4">
        <v>-0.61038770829525524</v>
      </c>
      <c r="O8" s="4">
        <v>-0.59492714996446339</v>
      </c>
      <c r="P8" s="4">
        <v>-0.60425918401435064</v>
      </c>
      <c r="Q8" s="4">
        <v>-0.47456409559825086</v>
      </c>
      <c r="R8" s="4">
        <v>-0.56713194964427427</v>
      </c>
      <c r="S8" s="4">
        <v>-0.56842214476831876</v>
      </c>
    </row>
    <row r="9" spans="1:19" x14ac:dyDescent="0.2">
      <c r="A9" s="4">
        <v>-0.32142857142857145</v>
      </c>
      <c r="B9" s="4">
        <v>-0.25212224108658743</v>
      </c>
      <c r="C9" s="4">
        <v>-0.41517489106112354</v>
      </c>
      <c r="D9" s="4">
        <v>-0.59619511336064079</v>
      </c>
      <c r="E9" s="4">
        <v>-0.54287083874711439</v>
      </c>
      <c r="F9" s="4">
        <v>-0.727498147618314</v>
      </c>
      <c r="G9" s="4">
        <v>0.20698924731182797</v>
      </c>
      <c r="H9" s="4">
        <v>-0.25212224108658743</v>
      </c>
      <c r="I9" s="4">
        <v>-0.11440677966101695</v>
      </c>
      <c r="J9" s="4">
        <v>-0.25485436893203889</v>
      </c>
      <c r="K9" s="4">
        <v>-0.65851761021613353</v>
      </c>
      <c r="L9" s="4">
        <v>-0.10770825202438776</v>
      </c>
      <c r="M9" s="4">
        <v>-0.52185084244979052</v>
      </c>
      <c r="N9" s="4">
        <v>-0.56513961925966982</v>
      </c>
      <c r="O9" s="4">
        <v>-0.57174692016109929</v>
      </c>
      <c r="P9" s="4">
        <v>-0.56955294196458628</v>
      </c>
      <c r="Q9" s="4">
        <v>-0.43777789499623476</v>
      </c>
      <c r="R9" s="4">
        <v>-0.53898026519094899</v>
      </c>
      <c r="S9" s="4">
        <v>-0.51781092999794176</v>
      </c>
    </row>
    <row r="10" spans="1:19" x14ac:dyDescent="0.2">
      <c r="A10" s="4">
        <v>-0.26785714285714285</v>
      </c>
      <c r="B10" s="4">
        <v>-0.18972835314091679</v>
      </c>
      <c r="C10" s="4">
        <v>-0.40217583323519018</v>
      </c>
      <c r="D10" s="4">
        <v>-6.6592853974797153E-2</v>
      </c>
      <c r="E10" s="4">
        <v>-0.48453918736518109</v>
      </c>
      <c r="F10" s="4">
        <v>-0.7216035389660409</v>
      </c>
      <c r="G10" s="4">
        <v>0.29301075268817206</v>
      </c>
      <c r="H10" s="4">
        <v>-0.18972835314091679</v>
      </c>
      <c r="I10" s="4">
        <v>-0.15889830508474576</v>
      </c>
      <c r="J10" s="4">
        <v>-0.13834951456310682</v>
      </c>
      <c r="K10" s="4">
        <v>-0.66824500503244111</v>
      </c>
      <c r="L10" s="4">
        <v>-8.6993329113467383E-2</v>
      </c>
      <c r="M10" s="4">
        <v>-0.44480775843404952</v>
      </c>
      <c r="N10" s="4">
        <v>-0.53771692481190514</v>
      </c>
      <c r="O10" s="4">
        <v>-0.55542229329542758</v>
      </c>
      <c r="P10" s="4">
        <v>-0.49024163193247061</v>
      </c>
      <c r="Q10" s="4">
        <v>-0.39068821806237403</v>
      </c>
      <c r="R10" s="4">
        <v>-0.49720069320975396</v>
      </c>
      <c r="S10" s="4">
        <v>-0.46973027596608374</v>
      </c>
    </row>
    <row r="11" spans="1:19" x14ac:dyDescent="0.2">
      <c r="A11" s="4">
        <v>-0.21428571428571427</v>
      </c>
      <c r="B11" s="4">
        <v>-6.7487266553480474E-2</v>
      </c>
      <c r="C11" s="4">
        <v>-0.5261600518195737</v>
      </c>
      <c r="D11" s="4">
        <v>-0.39894074982389316</v>
      </c>
      <c r="E11" s="4">
        <v>-0.36639524175948934</v>
      </c>
      <c r="F11" s="4">
        <v>-0.71731004834532797</v>
      </c>
      <c r="G11" s="4">
        <v>0.65860215053763438</v>
      </c>
      <c r="H11" s="4">
        <v>-6.7487266553480474E-2</v>
      </c>
      <c r="I11" s="4">
        <v>-0.21610169491525424</v>
      </c>
      <c r="J11" s="4">
        <v>-0.10922330097087378</v>
      </c>
      <c r="K11" s="4">
        <v>-0.6116865667384771</v>
      </c>
      <c r="L11" s="4">
        <v>-3.5089797872794003E-2</v>
      </c>
      <c r="M11" s="4">
        <v>-0.40171100724646908</v>
      </c>
      <c r="N11" s="4">
        <v>-0.51823047455593962</v>
      </c>
      <c r="O11" s="4">
        <v>-0.52732616678512201</v>
      </c>
      <c r="P11" s="4">
        <v>-0.4916056931317998</v>
      </c>
      <c r="Q11" s="4">
        <v>-0.38238731487419875</v>
      </c>
      <c r="R11" s="4">
        <v>-0.45919480130912921</v>
      </c>
      <c r="S11" s="4">
        <v>-0.4444246685808953</v>
      </c>
    </row>
    <row r="12" spans="1:19" x14ac:dyDescent="0.2">
      <c r="A12" s="4">
        <v>-0.16071428571428573</v>
      </c>
      <c r="B12" s="4">
        <v>-1.9100169779286927E-2</v>
      </c>
      <c r="C12" s="4">
        <v>-0.47844776822517959</v>
      </c>
      <c r="D12" s="4">
        <v>-0.31438499569516554</v>
      </c>
      <c r="E12" s="4">
        <v>-0.23867205732090371</v>
      </c>
      <c r="F12" s="4">
        <v>-0.4017779196103029</v>
      </c>
      <c r="G12" s="4">
        <v>0.52956989247311825</v>
      </c>
      <c r="H12" s="4">
        <v>-1.9100169779286927E-2</v>
      </c>
      <c r="I12" s="4">
        <v>-0.2097457627118644</v>
      </c>
      <c r="J12" s="4">
        <v>0.47330097087378636</v>
      </c>
      <c r="K12" s="4">
        <v>-0.36033306340041565</v>
      </c>
      <c r="L12" s="4">
        <v>-1.6209860711626823E-3</v>
      </c>
      <c r="M12" s="4">
        <v>-0.2825454337056329</v>
      </c>
      <c r="N12" s="4">
        <v>-0.48214633155400094</v>
      </c>
      <c r="O12" s="4">
        <v>-0.51817549158967069</v>
      </c>
      <c r="P12" s="4">
        <v>-0.34243361504500797</v>
      </c>
      <c r="Q12" s="4">
        <v>-0.31840405768004004</v>
      </c>
      <c r="R12" s="4">
        <v>-0.36793789900277724</v>
      </c>
      <c r="S12" s="4">
        <v>-0.36344672494829222</v>
      </c>
    </row>
    <row r="13" spans="1:19" x14ac:dyDescent="0.2">
      <c r="A13" s="4">
        <v>-0.10714285714285714</v>
      </c>
      <c r="B13" s="4">
        <v>-8.1494057724957561E-2</v>
      </c>
      <c r="C13" s="4">
        <v>-0.3543457778824638</v>
      </c>
      <c r="D13" s="4">
        <v>-0.25408796211745677</v>
      </c>
      <c r="E13" s="4">
        <v>-0.17717570925788098</v>
      </c>
      <c r="F13" s="4">
        <v>-0.37059921796480105</v>
      </c>
      <c r="G13" s="4">
        <v>0.34677419354838712</v>
      </c>
      <c r="H13" s="4">
        <v>-8.1494057724957561E-2</v>
      </c>
      <c r="I13" s="4">
        <v>0.10169491525423729</v>
      </c>
      <c r="J13" s="4">
        <v>0.45873786407766992</v>
      </c>
      <c r="K13" s="4">
        <v>-9.5026951495660456E-2</v>
      </c>
      <c r="L13" s="4">
        <v>0.1443600015742505</v>
      </c>
      <c r="M13" s="4">
        <v>-0.11548821334420091</v>
      </c>
      <c r="N13" s="4">
        <v>-0.46318891064442419</v>
      </c>
      <c r="O13" s="4">
        <v>-0.49444740582800284</v>
      </c>
      <c r="P13" s="4">
        <v>-0.32295187068836345</v>
      </c>
      <c r="Q13" s="4">
        <v>-0.20420096726607126</v>
      </c>
      <c r="R13" s="4">
        <v>-0.29101988091736664</v>
      </c>
      <c r="S13" s="4">
        <v>-0.28246878131568914</v>
      </c>
    </row>
    <row r="14" spans="1:19" x14ac:dyDescent="0.2">
      <c r="A14" s="4">
        <v>-5.3571428571428568E-2</v>
      </c>
      <c r="B14" s="4">
        <v>-2.6740237691001697E-2</v>
      </c>
      <c r="C14" s="4">
        <v>-0.41644093746319633</v>
      </c>
      <c r="D14" s="4">
        <v>-0.24141805160583371</v>
      </c>
      <c r="E14" s="4">
        <v>-9.6757407944697435E-2</v>
      </c>
      <c r="F14" s="4">
        <v>-0.30273969085400299</v>
      </c>
      <c r="G14" s="4">
        <v>-8.0645161290322578E-3</v>
      </c>
      <c r="H14" s="4">
        <v>-2.6740237691001697E-2</v>
      </c>
      <c r="I14" s="4">
        <v>0.25423728813559321</v>
      </c>
      <c r="J14" s="4">
        <v>0.5898058252427183</v>
      </c>
      <c r="K14" s="4">
        <v>-3.1241552088868928E-2</v>
      </c>
      <c r="L14" s="4">
        <v>0.17324380876791939</v>
      </c>
      <c r="M14" s="4">
        <v>-0.10543994600170654</v>
      </c>
      <c r="N14" s="4">
        <v>-0.39185436845848781</v>
      </c>
      <c r="O14" s="4">
        <v>-0.47431740108978915</v>
      </c>
      <c r="P14" s="4">
        <v>-0.2832257514130706</v>
      </c>
      <c r="Q14" s="4">
        <v>-7.6176177104245041E-2</v>
      </c>
      <c r="R14" s="4">
        <v>-0.22534631512289918</v>
      </c>
      <c r="S14" s="4">
        <v>-0.2090825198986426</v>
      </c>
    </row>
    <row r="15" spans="1:19" x14ac:dyDescent="0.2">
      <c r="A15" s="4">
        <v>0</v>
      </c>
      <c r="B15" s="4">
        <v>8.0220713073005087E-2</v>
      </c>
      <c r="C15" s="4">
        <v>-0.49066658815216113</v>
      </c>
      <c r="D15" s="4">
        <v>-0.27110673380469097</v>
      </c>
      <c r="E15" s="4">
        <v>-0.17244522094534079</v>
      </c>
      <c r="F15" s="4">
        <v>-0.24405037010952896</v>
      </c>
      <c r="G15" s="4">
        <v>5.6451612903225805E-2</v>
      </c>
      <c r="H15" s="4">
        <v>8.0220713073005087E-2</v>
      </c>
      <c r="I15" s="4">
        <v>6.3559322033898302E-2</v>
      </c>
      <c r="J15" s="4">
        <v>-0.45873786407766992</v>
      </c>
      <c r="K15" s="4">
        <v>-0.27050545067606668</v>
      </c>
      <c r="L15" s="4">
        <v>0.10055771103975966</v>
      </c>
      <c r="M15" s="4">
        <v>-0.21088944358833941</v>
      </c>
      <c r="N15" s="4">
        <v>-0.34262247940564328</v>
      </c>
      <c r="O15" s="4">
        <v>-0.43527155887230512</v>
      </c>
      <c r="P15" s="4">
        <v>-0.30111290459461609</v>
      </c>
      <c r="Q15" s="4">
        <v>-4.9762360758661132E-2</v>
      </c>
      <c r="R15" s="4">
        <v>-0.20072780839002521</v>
      </c>
      <c r="S15" s="4">
        <v>-0.18883803399049184</v>
      </c>
    </row>
    <row r="16" spans="1:19" x14ac:dyDescent="0.2">
      <c r="A16" s="4">
        <v>5.3571428571428568E-2</v>
      </c>
      <c r="B16" s="4">
        <v>0.22920203735144312</v>
      </c>
      <c r="C16" s="4">
        <v>-0.43890590036509247</v>
      </c>
      <c r="D16" s="4">
        <v>-0.17968281197004879</v>
      </c>
      <c r="E16" s="4">
        <v>-4.9452524819295345E-2</v>
      </c>
      <c r="F16" s="4">
        <v>-0.23854824628973451</v>
      </c>
      <c r="G16" s="4">
        <v>0.21236559139784947</v>
      </c>
      <c r="H16" s="4">
        <v>0.22920203735144312</v>
      </c>
      <c r="I16" s="4">
        <v>0.1271186440677966</v>
      </c>
      <c r="J16" s="4">
        <v>-0.40048543689320393</v>
      </c>
      <c r="K16" s="4">
        <v>6.6882941190489612E-2</v>
      </c>
      <c r="L16" s="4">
        <v>0.17861962828009853</v>
      </c>
      <c r="M16" s="4">
        <v>-0.13900421543281416</v>
      </c>
      <c r="N16" s="4">
        <v>-0.27162963550574831</v>
      </c>
      <c r="O16" s="4">
        <v>-0.38526859748874676</v>
      </c>
      <c r="P16" s="4">
        <v>-0.29931032326624329</v>
      </c>
      <c r="Q16" s="4">
        <v>-3.571844718849089E-2</v>
      </c>
      <c r="R16" s="4">
        <v>-0.15480945680409317</v>
      </c>
      <c r="S16" s="4">
        <v>-0.1483490621741903</v>
      </c>
    </row>
    <row r="17" spans="1:19" x14ac:dyDescent="0.2">
      <c r="A17" s="4">
        <v>0.10714285714285714</v>
      </c>
      <c r="B17" s="4">
        <v>0.18718166383701187</v>
      </c>
      <c r="C17" s="4">
        <v>-0.36235425744906369</v>
      </c>
      <c r="D17" s="4">
        <v>-0.10329645959978084</v>
      </c>
      <c r="E17" s="4">
        <v>5.9348706369129464E-2</v>
      </c>
      <c r="F17" s="4">
        <v>-0.20370146209770304</v>
      </c>
      <c r="G17" s="4">
        <v>0.239247311827957</v>
      </c>
      <c r="H17" s="4">
        <v>0.18718166383701187</v>
      </c>
      <c r="I17" s="4">
        <v>0.19067796610169491</v>
      </c>
      <c r="J17" s="4">
        <v>0.12378640776699024</v>
      </c>
      <c r="K17" s="4">
        <v>5.9463361025054035E-2</v>
      </c>
      <c r="L17" s="4">
        <v>0.21528859619490534</v>
      </c>
      <c r="M17" s="4">
        <v>-7.6708778543319617E-2</v>
      </c>
      <c r="N17" s="4">
        <v>-0.23536137742733082</v>
      </c>
      <c r="O17" s="4">
        <v>-0.30461531627576405</v>
      </c>
      <c r="P17" s="4">
        <v>-0.23705193738629043</v>
      </c>
      <c r="Q17" s="4">
        <v>-9.493911239449402E-4</v>
      </c>
      <c r="R17" s="4">
        <v>-9.6048495478182311E-2</v>
      </c>
      <c r="S17" s="4">
        <v>-9.0146165188256855E-2</v>
      </c>
    </row>
    <row r="18" spans="1:19" x14ac:dyDescent="0.2">
      <c r="A18" s="4">
        <v>0.16071428571428573</v>
      </c>
      <c r="B18" s="4">
        <v>0.28522920203735147</v>
      </c>
      <c r="C18" s="4">
        <v>-0.34591037569190908</v>
      </c>
      <c r="D18" s="4">
        <v>-2.8871742023011297E-2</v>
      </c>
      <c r="E18" s="4">
        <v>0.1303060310572326</v>
      </c>
      <c r="F18" s="4">
        <v>-0.16335255408587715</v>
      </c>
      <c r="G18" s="4">
        <v>0.34139784946236557</v>
      </c>
      <c r="H18" s="4">
        <v>0.28522920203735147</v>
      </c>
      <c r="I18" s="4">
        <v>0.25423728813559321</v>
      </c>
      <c r="J18" s="4">
        <v>-0.25485436893203889</v>
      </c>
      <c r="K18" s="4">
        <v>0.49323853377819282</v>
      </c>
      <c r="L18" s="4">
        <v>0.21627127287992731</v>
      </c>
      <c r="M18" s="4">
        <v>-4.4978413418066507E-2</v>
      </c>
      <c r="N18" s="4">
        <v>-0.30017390432769592</v>
      </c>
      <c r="O18" s="4">
        <v>-0.25292436626391851</v>
      </c>
      <c r="P18" s="4">
        <v>-0.19982169995028298</v>
      </c>
      <c r="Q18" s="4">
        <v>2.9360574239523748E-2</v>
      </c>
      <c r="R18" s="4">
        <v>-4.206288978348121E-2</v>
      </c>
      <c r="S18" s="4">
        <v>-3.9534950417879931E-2</v>
      </c>
    </row>
    <row r="19" spans="1:19" x14ac:dyDescent="0.2">
      <c r="A19" s="4">
        <v>0.21428571428571427</v>
      </c>
      <c r="B19" s="4">
        <v>0.47495755517826826</v>
      </c>
      <c r="C19" s="4">
        <v>-0.34945824991167118</v>
      </c>
      <c r="D19" s="4">
        <v>1.9053784340838528E-2</v>
      </c>
      <c r="E19" s="4">
        <v>0.1255755427446924</v>
      </c>
      <c r="F19" s="4">
        <v>-0.12116960480078644</v>
      </c>
      <c r="G19" s="4">
        <v>0.38978494623655913</v>
      </c>
      <c r="H19" s="4">
        <v>0.47495755517826826</v>
      </c>
      <c r="I19" s="4">
        <v>0.40042372881355931</v>
      </c>
      <c r="J19" s="4">
        <v>-0.31310679611650488</v>
      </c>
      <c r="K19" s="4">
        <v>5.7963506337948986E-2</v>
      </c>
      <c r="L19" s="4">
        <v>0.2495543723168048</v>
      </c>
      <c r="M19" s="4">
        <v>-0.11797162542504552</v>
      </c>
      <c r="N19" s="4">
        <v>-0.22052765183329839</v>
      </c>
      <c r="O19" s="4">
        <v>-0.18859571191660743</v>
      </c>
      <c r="P19" s="4">
        <v>-0.21812483343837605</v>
      </c>
      <c r="Q19" s="4">
        <v>7.8277243657985926E-2</v>
      </c>
      <c r="R19" s="4">
        <v>2.6818460938596352E-2</v>
      </c>
      <c r="S19" s="4">
        <v>2.6259628783610066E-2</v>
      </c>
    </row>
    <row r="20" spans="1:19" x14ac:dyDescent="0.2">
      <c r="A20" s="4">
        <v>0.26785714285714285</v>
      </c>
      <c r="B20" s="4">
        <v>0.532258064516129</v>
      </c>
      <c r="C20" s="4">
        <v>-0.33430985749617242</v>
      </c>
      <c r="D20" s="4">
        <v>7.7105455399306008E-2</v>
      </c>
      <c r="E20" s="4">
        <v>0.20126335574533574</v>
      </c>
      <c r="F20" s="4">
        <v>-7.1650490422636465E-2</v>
      </c>
      <c r="G20" s="4">
        <v>0.35215053763440862</v>
      </c>
      <c r="H20" s="4">
        <v>0.532258064516129</v>
      </c>
      <c r="I20" s="4">
        <v>0.52754237288135597</v>
      </c>
      <c r="J20" s="4">
        <v>-0.35679611650485438</v>
      </c>
      <c r="K20" s="4">
        <v>0.35309250482698085</v>
      </c>
      <c r="L20" s="4">
        <v>0.30592114972762185</v>
      </c>
      <c r="M20" s="4">
        <v>-4.639204798716267E-2</v>
      </c>
      <c r="N20" s="4">
        <v>-0.13361568778371008</v>
      </c>
      <c r="O20" s="4">
        <v>-0.11809997630893153</v>
      </c>
      <c r="P20" s="4">
        <v>-0.19718715800881506</v>
      </c>
      <c r="Q20" s="4">
        <v>0.10986123493604812</v>
      </c>
      <c r="R20" s="4">
        <v>9.9152290551772715E-2</v>
      </c>
      <c r="S20" s="4">
        <v>8.4462525769543523E-2</v>
      </c>
    </row>
    <row r="21" spans="1:19" x14ac:dyDescent="0.2">
      <c r="A21" s="4">
        <v>0.32142857142857145</v>
      </c>
      <c r="B21" s="4">
        <v>0.64558573853989809</v>
      </c>
      <c r="C21" s="4">
        <v>-0.30900365092450832</v>
      </c>
      <c r="D21" s="4">
        <v>0.10885360953846956</v>
      </c>
      <c r="E21" s="4">
        <v>0.18234140249517491</v>
      </c>
      <c r="F21" s="4">
        <v>1.7111605079560711E-3</v>
      </c>
      <c r="G21" s="4">
        <v>0.43279569892473119</v>
      </c>
      <c r="H21" s="4">
        <v>0.64558573853989809</v>
      </c>
      <c r="I21" s="4">
        <v>0.52754237288135597</v>
      </c>
      <c r="J21" s="4">
        <v>-0.6334951456310679</v>
      </c>
      <c r="K21" s="4">
        <v>-4.9813025798949542E-2</v>
      </c>
      <c r="L21" s="4">
        <v>0.4447971020671877</v>
      </c>
      <c r="M21" s="4">
        <v>6.6068312935393086E-2</v>
      </c>
      <c r="N21" s="4">
        <v>-4.5755008492877398E-2</v>
      </c>
      <c r="O21" s="4">
        <v>-2.5741826581378819E-2</v>
      </c>
      <c r="P21" s="4">
        <v>-0.18914487208222872</v>
      </c>
      <c r="Q21" s="4">
        <v>0.13780091952818005</v>
      </c>
      <c r="R21" s="4">
        <v>0.2464580565719883</v>
      </c>
      <c r="S21" s="4">
        <v>0.13760430127843928</v>
      </c>
    </row>
    <row r="22" spans="1:19" x14ac:dyDescent="0.2">
      <c r="A22" s="4">
        <v>0.375</v>
      </c>
      <c r="B22" s="4">
        <v>0.59974533106960948</v>
      </c>
      <c r="C22" s="4">
        <v>-0.25849428806972086</v>
      </c>
      <c r="D22" s="4">
        <v>0.12519241305538886</v>
      </c>
      <c r="E22" s="4">
        <v>0.21072433237041616</v>
      </c>
      <c r="F22" s="4">
        <v>6.9570687618754179E-2</v>
      </c>
      <c r="G22" s="4">
        <v>0.22311827956989247</v>
      </c>
      <c r="H22" s="4">
        <v>0.59974533106960948</v>
      </c>
      <c r="I22" s="4">
        <v>0.54661016949152541</v>
      </c>
      <c r="J22" s="4">
        <v>-0.67718446601941751</v>
      </c>
      <c r="K22" s="4">
        <v>0.17662405712594442</v>
      </c>
      <c r="L22" s="4">
        <v>0.59727187306293394</v>
      </c>
      <c r="M22" s="4">
        <v>0.1744979050190395</v>
      </c>
      <c r="N22" s="4">
        <v>1.3796972794384464E-2</v>
      </c>
      <c r="O22" s="4">
        <v>8.6679696754323618E-2</v>
      </c>
      <c r="P22" s="4">
        <v>-0.11711094899840799</v>
      </c>
      <c r="Q22" s="4">
        <v>0.17174037732275815</v>
      </c>
      <c r="R22" s="4">
        <v>0.23785935776126715</v>
      </c>
      <c r="S22" s="4">
        <v>0.20592944121844811</v>
      </c>
    </row>
    <row r="23" spans="1:19" x14ac:dyDescent="0.2">
      <c r="A23" s="4">
        <v>0.42857142857142855</v>
      </c>
      <c r="B23" s="4">
        <v>0.67487266553480474</v>
      </c>
      <c r="C23" s="4">
        <v>-0.31380285007655162</v>
      </c>
      <c r="D23" s="4">
        <v>0.16234117769834852</v>
      </c>
      <c r="E23" s="4">
        <v>0.23437677393311721</v>
      </c>
      <c r="F23" s="4">
        <v>0.13559617345628747</v>
      </c>
      <c r="G23" s="4">
        <v>0.19086021505376344</v>
      </c>
      <c r="H23" s="4">
        <v>0.67487266553480474</v>
      </c>
      <c r="I23" s="4">
        <v>0.53389830508474578</v>
      </c>
      <c r="J23" s="4">
        <v>-0.28398058252427183</v>
      </c>
      <c r="K23" s="4">
        <v>0.43630951424964193</v>
      </c>
      <c r="L23" s="4">
        <v>0.67922268101421091</v>
      </c>
      <c r="M23" s="4">
        <v>0.25845633652144012</v>
      </c>
      <c r="N23" s="4">
        <v>0.10802530014509447</v>
      </c>
      <c r="O23" s="4">
        <v>0.18213249230040274</v>
      </c>
      <c r="P23" s="4">
        <v>-8.4872475240971371E-2</v>
      </c>
      <c r="Q23" s="4">
        <v>0.18117705764364259</v>
      </c>
      <c r="R23" s="4">
        <v>0.30901559767515402</v>
      </c>
      <c r="S23" s="4">
        <v>0.26919345968141928</v>
      </c>
    </row>
    <row r="24" spans="1:19" x14ac:dyDescent="0.2">
      <c r="A24" s="4">
        <v>0.48214285714285715</v>
      </c>
      <c r="B24" s="4">
        <v>0.63539898132427841</v>
      </c>
      <c r="C24" s="4">
        <v>-0.35296195972205863</v>
      </c>
      <c r="D24" s="4">
        <v>0.17601881082209292</v>
      </c>
      <c r="E24" s="4">
        <v>0.27695116874597908</v>
      </c>
      <c r="F24" s="4">
        <v>0.2217961132997337</v>
      </c>
      <c r="G24" s="4">
        <v>9.9462365591397844E-2</v>
      </c>
      <c r="H24" s="4">
        <v>0.63539898132427841</v>
      </c>
      <c r="I24" s="4">
        <v>0.59745762711864403</v>
      </c>
      <c r="J24" s="4">
        <v>-0.35679611650485438</v>
      </c>
      <c r="K24" s="4">
        <v>0.32777691867230291</v>
      </c>
      <c r="L24" s="4">
        <v>0.75</v>
      </c>
      <c r="M24" s="4">
        <v>0.33057659642006598</v>
      </c>
      <c r="N24" s="4">
        <v>0.14233180806365076</v>
      </c>
      <c r="O24" s="4">
        <v>0.28380419331911871</v>
      </c>
      <c r="P24" s="4">
        <v>-0.16113553144135906</v>
      </c>
      <c r="Q24" s="4">
        <v>0.23707124108272731</v>
      </c>
      <c r="R24" s="4">
        <v>0.38415576118209172</v>
      </c>
      <c r="S24" s="4">
        <v>0.33751859962142811</v>
      </c>
    </row>
    <row r="25" spans="1:19" x14ac:dyDescent="0.2">
      <c r="A25" s="4">
        <v>0.5357142857142857</v>
      </c>
      <c r="B25" s="4">
        <v>0.72707979626485564</v>
      </c>
      <c r="C25" s="4">
        <v>-0.34124366976798964</v>
      </c>
      <c r="D25" s="4">
        <v>0.16741403376033812</v>
      </c>
      <c r="E25" s="4">
        <v>0.31006458693376054</v>
      </c>
      <c r="F25" s="4">
        <v>0.28415351659073734</v>
      </c>
      <c r="G25" s="4">
        <v>7.7956989247311828E-2</v>
      </c>
      <c r="H25" s="4">
        <v>0.72707979626485564</v>
      </c>
      <c r="I25" s="4">
        <v>0.69279661016949157</v>
      </c>
      <c r="J25" s="4">
        <v>-0.75</v>
      </c>
      <c r="K25" s="4">
        <v>0.39912037769429548</v>
      </c>
      <c r="L25" s="4">
        <v>0.73042025929217758</v>
      </c>
      <c r="M25" s="4">
        <v>0.31280485475223191</v>
      </c>
      <c r="N25" s="4">
        <v>0.45373552606260126</v>
      </c>
      <c r="O25" s="4">
        <v>0.37501480691779199</v>
      </c>
      <c r="P25" s="4">
        <v>-8.5080465394245158E-2</v>
      </c>
      <c r="Q25" s="4">
        <v>0.21547205755392118</v>
      </c>
      <c r="R25" s="4">
        <v>0.42507317988922277</v>
      </c>
      <c r="S25" s="4">
        <v>0.36788532848365424</v>
      </c>
    </row>
    <row r="26" spans="1:19" x14ac:dyDescent="0.2">
      <c r="A26" s="4">
        <v>0.5892857142857143</v>
      </c>
      <c r="B26" s="4">
        <v>0.46095076400679119</v>
      </c>
      <c r="C26" s="4">
        <v>-0.33740136615239663</v>
      </c>
      <c r="D26" s="4">
        <v>-8.7515327819666575E-2</v>
      </c>
      <c r="E26" s="4">
        <v>3.5696264806428415E-2</v>
      </c>
      <c r="F26" s="4">
        <v>0.41620448826580392</v>
      </c>
      <c r="G26" s="4">
        <v>0.75</v>
      </c>
      <c r="H26" s="4">
        <v>0.46095076400679119</v>
      </c>
      <c r="I26" s="4">
        <v>0.75</v>
      </c>
      <c r="J26" s="4">
        <v>-0.45873786407766992</v>
      </c>
      <c r="K26" s="4">
        <v>2.4304879771788822E-2</v>
      </c>
      <c r="L26" s="4">
        <v>-0.59109908923048671</v>
      </c>
      <c r="M26" s="4">
        <v>-0.55530049286178218</v>
      </c>
      <c r="N26" s="4">
        <v>0.57289576835482592</v>
      </c>
      <c r="O26" s="4">
        <v>0.46086531627576405</v>
      </c>
      <c r="P26" s="4">
        <v>-7.842478048948405E-2</v>
      </c>
      <c r="Q26" s="4">
        <v>4.1256420860670065E-2</v>
      </c>
      <c r="R26" s="4">
        <v>0.27288500462877119</v>
      </c>
      <c r="S26" s="4">
        <v>0.20846000195696698</v>
      </c>
    </row>
    <row r="27" spans="1:19" x14ac:dyDescent="0.2">
      <c r="A27" s="4">
        <v>0.6428571428571429</v>
      </c>
      <c r="B27" s="4">
        <v>-1.400679117147708E-2</v>
      </c>
      <c r="C27" s="4">
        <v>-0.30583853491932633</v>
      </c>
      <c r="D27" s="4">
        <v>8.3919812674476249E-2</v>
      </c>
      <c r="E27" s="4">
        <v>0.26749019212089864</v>
      </c>
      <c r="F27" s="4">
        <v>0.63812348233084637</v>
      </c>
      <c r="G27" s="4">
        <v>0.54569892473118276</v>
      </c>
      <c r="H27" s="4">
        <v>-1.400679117147708E-2</v>
      </c>
      <c r="I27" s="4">
        <v>0.63559322033898302</v>
      </c>
      <c r="J27" s="4">
        <v>-0.24029126213592236</v>
      </c>
      <c r="K27" s="4">
        <v>4.7732384958711384E-2</v>
      </c>
      <c r="L27" s="4">
        <v>-0.75</v>
      </c>
      <c r="M27" s="4">
        <v>-0.59620037951630778</v>
      </c>
      <c r="N27" s="4">
        <v>0.4243092736646833</v>
      </c>
      <c r="O27" s="4">
        <v>0.56818585643212505</v>
      </c>
      <c r="P27" s="4">
        <v>4.5606680912782832E-2</v>
      </c>
      <c r="Q27" s="4">
        <v>0.22561982210620665</v>
      </c>
      <c r="R27" s="4">
        <v>0.33023897566462185</v>
      </c>
      <c r="S27" s="4">
        <v>0.28437682411253234</v>
      </c>
    </row>
    <row r="28" spans="1:19" x14ac:dyDescent="0.2">
      <c r="A28" s="4">
        <v>0.6964285714285714</v>
      </c>
      <c r="B28" s="4">
        <v>0.36799660441426146</v>
      </c>
      <c r="C28" s="4">
        <v>0.17835060652455542</v>
      </c>
      <c r="D28" s="4">
        <v>0.59514336403245582</v>
      </c>
      <c r="E28" s="4">
        <v>0.74526951168745981</v>
      </c>
      <c r="F28" s="4">
        <v>0.67297026652287784</v>
      </c>
      <c r="G28" s="4">
        <v>0.2661290322580645</v>
      </c>
      <c r="H28" s="4">
        <v>0.36799660441426146</v>
      </c>
      <c r="I28" s="4">
        <v>0.52754237288135597</v>
      </c>
      <c r="J28" s="4">
        <v>0.75</v>
      </c>
      <c r="K28" s="4">
        <v>0.39468791012021459</v>
      </c>
      <c r="L28" s="4">
        <v>0.25544182324446468</v>
      </c>
      <c r="M28" s="4">
        <v>0.34600616395613915</v>
      </c>
      <c r="N28" s="4">
        <v>0.55173459449927398</v>
      </c>
      <c r="O28" s="4">
        <v>0.65184494195688225</v>
      </c>
      <c r="P28" s="4">
        <v>0.38199608880758379</v>
      </c>
      <c r="Q28" s="4">
        <v>0.45808510875505837</v>
      </c>
      <c r="R28" s="4">
        <v>0.54516056581449668</v>
      </c>
      <c r="S28" s="4">
        <v>0.5171884120562662</v>
      </c>
    </row>
    <row r="29" spans="1:19" x14ac:dyDescent="0.2">
      <c r="A29" s="4">
        <v>0.75</v>
      </c>
      <c r="B29" s="4">
        <v>0.75</v>
      </c>
      <c r="C29" s="4">
        <v>0.75</v>
      </c>
      <c r="D29" s="4">
        <v>0.75</v>
      </c>
      <c r="E29" s="4">
        <v>0.75</v>
      </c>
      <c r="F29" s="4">
        <v>0.75</v>
      </c>
      <c r="G29" s="4">
        <v>-3.4946236559139782E-2</v>
      </c>
      <c r="H29" s="4">
        <v>0.75</v>
      </c>
      <c r="I29" s="4">
        <v>0.42584745762711862</v>
      </c>
      <c r="J29" s="4">
        <v>0.19660194174757276</v>
      </c>
      <c r="K29" s="4">
        <v>0.75</v>
      </c>
      <c r="L29" s="4">
        <v>0.62209460589622412</v>
      </c>
      <c r="M29" s="4">
        <v>0.75</v>
      </c>
      <c r="N29" s="4">
        <v>0.75</v>
      </c>
      <c r="O29" s="4">
        <v>0.75</v>
      </c>
      <c r="P29" s="4">
        <v>0.75</v>
      </c>
      <c r="Q29" s="4">
        <v>0.74999999999999989</v>
      </c>
      <c r="R29" s="4">
        <v>0.75</v>
      </c>
      <c r="S29" s="4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Padmapriya V</cp:lastModifiedBy>
  <dcterms:created xsi:type="dcterms:W3CDTF">2024-12-11T10:48:34Z</dcterms:created>
  <dcterms:modified xsi:type="dcterms:W3CDTF">2024-12-25T15:14:17Z</dcterms:modified>
</cp:coreProperties>
</file>