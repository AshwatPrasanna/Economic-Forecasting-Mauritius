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at/Documents/School (Grade 11)/Internship/RFBNNPSO experimental - cyclic predictor 2/"/>
    </mc:Choice>
  </mc:AlternateContent>
  <xr:revisionPtr revIDLastSave="0" documentId="13_ncr:1_{17BB30CF-F1B9-E244-BAA4-2632341C5FD3}" xr6:coauthVersionLast="47" xr6:coauthVersionMax="47" xr10:uidLastSave="{00000000-0000-0000-0000-000000000000}"/>
  <bookViews>
    <workbookView xWindow="0" yWindow="740" windowWidth="30240" windowHeight="18900" activeTab="1" xr2:uid="{EC03085D-099C-CE45-B1FA-484126166414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1" l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43" i="1"/>
  <c r="B43" i="1"/>
  <c r="A40" i="1"/>
  <c r="B40" i="1"/>
  <c r="AC43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D50" i="1"/>
  <c r="AE50" i="1"/>
  <c r="AF50" i="1"/>
  <c r="AG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D51" i="1"/>
  <c r="AE51" i="1"/>
  <c r="AF51" i="1"/>
  <c r="AG51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D52" i="1"/>
  <c r="AE52" i="1"/>
  <c r="AF52" i="1"/>
  <c r="AG52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D53" i="1"/>
  <c r="AE53" i="1"/>
  <c r="AF53" i="1"/>
  <c r="AG53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D54" i="1"/>
  <c r="AE54" i="1"/>
  <c r="AF54" i="1"/>
  <c r="AG54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D55" i="1"/>
  <c r="AE55" i="1"/>
  <c r="AF55" i="1"/>
  <c r="AG55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D56" i="1"/>
  <c r="AE56" i="1"/>
  <c r="AF56" i="1"/>
  <c r="AG56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D57" i="1"/>
  <c r="AE57" i="1"/>
  <c r="AF57" i="1"/>
  <c r="AG57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D58" i="1"/>
  <c r="AE58" i="1"/>
  <c r="AF58" i="1"/>
  <c r="AG58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D59" i="1"/>
  <c r="AE59" i="1"/>
  <c r="AF59" i="1"/>
  <c r="AG59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D60" i="1"/>
  <c r="AE60" i="1"/>
  <c r="AF60" i="1"/>
  <c r="AG60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D61" i="1"/>
  <c r="AE61" i="1"/>
  <c r="AF61" i="1"/>
  <c r="AG61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D62" i="1"/>
  <c r="AE62" i="1"/>
  <c r="AF62" i="1"/>
  <c r="AG62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D63" i="1"/>
  <c r="AE63" i="1"/>
  <c r="AF63" i="1"/>
  <c r="AG63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D64" i="1"/>
  <c r="AE64" i="1"/>
  <c r="AF64" i="1"/>
  <c r="AG64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D65" i="1"/>
  <c r="AE65" i="1"/>
  <c r="AF65" i="1"/>
  <c r="AG65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D66" i="1"/>
  <c r="AE66" i="1"/>
  <c r="AF66" i="1"/>
  <c r="AG66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D67" i="1"/>
  <c r="AE67" i="1"/>
  <c r="AF67" i="1"/>
  <c r="AG67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D68" i="1"/>
  <c r="AE68" i="1"/>
  <c r="AF68" i="1"/>
  <c r="AG68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D69" i="1"/>
  <c r="AE69" i="1"/>
  <c r="AF69" i="1"/>
  <c r="AG69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D70" i="1"/>
  <c r="AE70" i="1"/>
  <c r="AF70" i="1"/>
  <c r="AG70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D71" i="1"/>
  <c r="AE71" i="1"/>
  <c r="AF71" i="1"/>
  <c r="AG71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D72" i="1"/>
  <c r="AE72" i="1"/>
  <c r="AF72" i="1"/>
  <c r="AG72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D73" i="1"/>
  <c r="AE73" i="1"/>
  <c r="AF73" i="1"/>
  <c r="AG73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D74" i="1"/>
  <c r="AE74" i="1"/>
  <c r="AF74" i="1"/>
  <c r="AG74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D75" i="1"/>
  <c r="AE75" i="1"/>
  <c r="AF75" i="1"/>
  <c r="AG75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D76" i="1"/>
  <c r="AE76" i="1"/>
  <c r="AF76" i="1"/>
  <c r="AG76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D77" i="1"/>
  <c r="AE77" i="1"/>
  <c r="AF77" i="1"/>
  <c r="AG77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D78" i="1"/>
  <c r="AE78" i="1"/>
  <c r="AF78" i="1"/>
  <c r="AG78" i="1"/>
  <c r="C77" i="1"/>
  <c r="C78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50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D43" i="1"/>
  <c r="AE43" i="1"/>
  <c r="AF43" i="1"/>
  <c r="AG43" i="1"/>
  <c r="C43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C41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C40" i="1"/>
</calcChain>
</file>

<file path=xl/sharedStrings.xml><?xml version="1.0" encoding="utf-8"?>
<sst xmlns="http://schemas.openxmlformats.org/spreadsheetml/2006/main" count="34" uniqueCount="34">
  <si>
    <t>Year</t>
  </si>
  <si>
    <t>GDP Growth</t>
  </si>
  <si>
    <t>GDP</t>
  </si>
  <si>
    <t>Labourforce</t>
  </si>
  <si>
    <t>Gross DomesticSavings</t>
  </si>
  <si>
    <t>Export</t>
  </si>
  <si>
    <t>Import</t>
  </si>
  <si>
    <t>Broadmoney</t>
  </si>
  <si>
    <t>Unempoyment</t>
  </si>
  <si>
    <t>Murlabour</t>
  </si>
  <si>
    <t>Forlabour</t>
  </si>
  <si>
    <t>Inflation %</t>
  </si>
  <si>
    <t>Foreign Direct inv (FDI)</t>
  </si>
  <si>
    <t>Tourist arrival</t>
  </si>
  <si>
    <t>Tourist Expenditure</t>
  </si>
  <si>
    <t>Expenditure</t>
  </si>
  <si>
    <t>National debt</t>
  </si>
  <si>
    <t>Population 65+</t>
  </si>
  <si>
    <t>Industry</t>
  </si>
  <si>
    <t>consumer price index</t>
  </si>
  <si>
    <t>Non- Oil Imports, nominal</t>
  </si>
  <si>
    <t>General government net lending</t>
  </si>
  <si>
    <t>Gross fixed capital formation</t>
  </si>
  <si>
    <t>Non oil import price deflator</t>
  </si>
  <si>
    <t>Non oil export price deflator</t>
  </si>
  <si>
    <t>exchange rate (USD)</t>
  </si>
  <si>
    <t>trend productivity growth</t>
  </si>
  <si>
    <t>trade weighted external demand</t>
  </si>
  <si>
    <t>world oilprice (MUR per barrel)</t>
  </si>
  <si>
    <t>Oilshare of import</t>
  </si>
  <si>
    <t>Oilshare of export</t>
  </si>
  <si>
    <t>Primary</t>
  </si>
  <si>
    <t>Secondary</t>
  </si>
  <si>
    <t>Tertiary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</si>
</sst>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 &quot;;&quot;-&quot;0&quot; &quot;"/>
    <numFmt numFmtId="165" formatCode="#,##0.00&quot; &quot;"/>
    <numFmt numFmtId="166" formatCode="0E+00"/>
    <numFmt numFmtId="167" formatCode="&quot; &quot;* #,##0.00&quot; &quot;;&quot;-&quot;* #,##0.00&quot; &quot;;&quot; &quot;* &quot;-&quot;#&quot; &quot;;&quot; &quot;@&quot; &quot;"/>
    <numFmt numFmtId="168" formatCode="0.000"/>
  </numFmts>
  <fonts count="4">
    <font>
      <sz val="11"/>
      <color rgb="FF000000"/>
      <name val="Aptos Narrow"/>
    </font>
    <font>
      <sz val="11"/>
      <color rgb="FF000000"/>
      <name val="Aptos Narrow"/>
    </font>
    <font>
      <sz val="10"/>
      <color rgb="FF000000"/>
      <name val="Glacial Indifference"/>
      <family val="3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/>
    <xf numFmtId="166" fontId="0" fillId="0" borderId="0" xfId="0" applyNumberFormat="1"/>
    <xf numFmtId="1" fontId="0" fillId="0" borderId="0" xfId="0" applyNumberFormat="1"/>
    <xf numFmtId="3" fontId="0" fillId="0" borderId="0" xfId="0" applyNumberFormat="1"/>
    <xf numFmtId="2" fontId="0" fillId="0" borderId="0" xfId="0" applyNumberFormat="1"/>
    <xf numFmtId="165" fontId="3" fillId="0" borderId="2" xfId="0" applyNumberFormat="1" applyFont="1" applyBorder="1"/>
    <xf numFmtId="164" fontId="1" fillId="0" borderId="0" xfId="1" applyNumberFormat="1"/>
    <xf numFmtId="165" fontId="3" fillId="0" borderId="3" xfId="0" applyNumberFormat="1" applyFont="1" applyBorder="1"/>
    <xf numFmtId="0" fontId="0" fillId="0" borderId="0" xfId="0" applyAlignment="1">
      <alignment vertical="center" wrapText="1"/>
    </xf>
    <xf numFmtId="11" fontId="0" fillId="0" borderId="0" xfId="0" applyNumberFormat="1"/>
    <xf numFmtId="168" fontId="0" fillId="0" borderId="0" xfId="0" applyNumberFormat="1"/>
  </cellXfs>
  <cellStyles count="2">
    <cellStyle name="Comma" xfId="1" builtinId="3" customBuiltin="1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34E8-4417-1F4E-8F13-FA84D19975E8}">
  <dimension ref="A1:AG78"/>
  <sheetViews>
    <sheetView topLeftCell="A23" zoomScale="59" workbookViewId="0">
      <selection activeCell="A50" sqref="A50:AG78"/>
    </sheetView>
  </sheetViews>
  <sheetFormatPr baseColWidth="10" defaultColWidth="10.6640625" defaultRowHeight="15"/>
  <cols>
    <col min="1" max="1" width="10.6640625" customWidth="1"/>
    <col min="2" max="2" width="13" bestFit="1" customWidth="1"/>
    <col min="3" max="4" width="10.6640625" customWidth="1"/>
    <col min="5" max="5" width="24" bestFit="1" customWidth="1"/>
    <col min="6" max="6" width="7.83203125" bestFit="1" customWidth="1"/>
    <col min="7" max="12" width="10.6640625" customWidth="1"/>
    <col min="13" max="13" width="23" bestFit="1" customWidth="1"/>
    <col min="14" max="14" width="10.6640625" customWidth="1"/>
    <col min="15" max="15" width="22.83203125" bestFit="1" customWidth="1"/>
    <col min="16" max="16" width="14.33203125" bestFit="1" customWidth="1"/>
    <col min="17" max="17" width="21.1640625" bestFit="1" customWidth="1"/>
    <col min="18" max="18" width="10.6640625" customWidth="1"/>
    <col min="19" max="21" width="14.5" bestFit="1" customWidth="1"/>
    <col min="22" max="22" width="13.6640625" customWidth="1"/>
    <col min="23" max="23" width="10.6640625" customWidth="1"/>
    <col min="24" max="24" width="14.83203125" customWidth="1"/>
    <col min="25" max="28" width="10.6640625" customWidth="1"/>
    <col min="29" max="29" width="12.83203125" customWidth="1"/>
    <col min="30" max="30" width="10.6640625" customWidth="1"/>
    <col min="31" max="31" width="10.83203125" bestFit="1" customWidth="1"/>
    <col min="32" max="33" width="11.1640625" bestFit="1" customWidth="1"/>
  </cols>
  <sheetData>
    <row r="1" spans="1:33" ht="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</row>
    <row r="2" spans="1:33">
      <c r="S2" t="s">
        <v>31</v>
      </c>
      <c r="T2" t="s">
        <v>32</v>
      </c>
      <c r="U2" t="s">
        <v>33</v>
      </c>
    </row>
    <row r="3" spans="1:33">
      <c r="A3">
        <v>1995</v>
      </c>
      <c r="B3" s="2">
        <v>4.3</v>
      </c>
      <c r="C3">
        <v>70246000000</v>
      </c>
      <c r="D3">
        <v>475000</v>
      </c>
      <c r="E3">
        <v>16108000000</v>
      </c>
      <c r="F3" s="3">
        <v>41205000000</v>
      </c>
      <c r="G3">
        <v>42908000000</v>
      </c>
      <c r="H3">
        <v>8134000000</v>
      </c>
      <c r="I3">
        <v>24300</v>
      </c>
      <c r="J3">
        <v>475000</v>
      </c>
      <c r="K3">
        <v>9800</v>
      </c>
      <c r="L3">
        <v>6</v>
      </c>
      <c r="M3" s="4">
        <v>525000000</v>
      </c>
      <c r="N3" s="5">
        <v>422463</v>
      </c>
      <c r="O3">
        <v>7472000000</v>
      </c>
      <c r="P3">
        <v>15559900000</v>
      </c>
      <c r="Q3" s="5">
        <v>21605000000</v>
      </c>
      <c r="R3" s="5">
        <v>129316</v>
      </c>
      <c r="S3">
        <v>6591338686.1980658</v>
      </c>
      <c r="T3">
        <v>19815172646.606354</v>
      </c>
      <c r="U3">
        <v>37910198671.198807</v>
      </c>
      <c r="V3" s="2">
        <v>6</v>
      </c>
      <c r="W3">
        <v>13291438000.000002</v>
      </c>
      <c r="X3">
        <v>-2426300000</v>
      </c>
      <c r="Y3">
        <v>16499128200</v>
      </c>
      <c r="Z3" s="6">
        <v>0.37675438900000002</v>
      </c>
      <c r="AA3" s="6">
        <v>0.74502627300000002</v>
      </c>
      <c r="AB3" s="7">
        <v>17.8</v>
      </c>
      <c r="AC3" s="6">
        <v>0.03</v>
      </c>
      <c r="AD3" s="6">
        <v>2.6428236961364702</v>
      </c>
      <c r="AE3">
        <v>303.38935623168783</v>
      </c>
      <c r="AF3">
        <v>825276530</v>
      </c>
      <c r="AG3">
        <v>29868400</v>
      </c>
    </row>
    <row r="4" spans="1:33">
      <c r="A4">
        <v>1996</v>
      </c>
      <c r="B4" s="2">
        <v>5.6</v>
      </c>
      <c r="C4">
        <v>79365000000</v>
      </c>
      <c r="D4">
        <v>482300</v>
      </c>
      <c r="E4">
        <v>18409000000</v>
      </c>
      <c r="F4" s="3">
        <v>50465000000</v>
      </c>
      <c r="G4">
        <v>50959000000</v>
      </c>
      <c r="H4">
        <v>9831000000</v>
      </c>
      <c r="I4">
        <v>27900</v>
      </c>
      <c r="J4">
        <v>482300</v>
      </c>
      <c r="K4">
        <v>8200</v>
      </c>
      <c r="L4">
        <v>6.6</v>
      </c>
      <c r="M4" s="4">
        <v>700000000</v>
      </c>
      <c r="N4" s="5">
        <v>486867</v>
      </c>
      <c r="O4">
        <v>9048000000</v>
      </c>
      <c r="P4">
        <v>17208100000</v>
      </c>
      <c r="Q4" s="5">
        <v>27400000000</v>
      </c>
      <c r="R4" s="5">
        <v>131353</v>
      </c>
      <c r="S4">
        <v>7332984825.7449436</v>
      </c>
      <c r="T4">
        <v>22344538396.736496</v>
      </c>
      <c r="U4">
        <v>43066964678.738861</v>
      </c>
      <c r="V4" s="2">
        <v>6.6</v>
      </c>
      <c r="W4">
        <v>14466745800</v>
      </c>
      <c r="X4">
        <v>-4904600000</v>
      </c>
      <c r="Y4">
        <v>19708943900</v>
      </c>
      <c r="Z4" s="6">
        <v>0.401070859</v>
      </c>
      <c r="AA4" s="6">
        <v>0.79979297199999999</v>
      </c>
      <c r="AB4" s="7">
        <v>19.71</v>
      </c>
      <c r="AC4" s="6">
        <v>0.03</v>
      </c>
      <c r="AD4" s="6">
        <v>2.798035</v>
      </c>
      <c r="AE4">
        <v>406.74009330000007</v>
      </c>
      <c r="AF4">
        <v>1103990804.1000001</v>
      </c>
      <c r="AG4">
        <v>292124.03999999998</v>
      </c>
    </row>
    <row r="5" spans="1:33">
      <c r="A5">
        <v>1997</v>
      </c>
      <c r="B5" s="2">
        <v>5.7</v>
      </c>
      <c r="C5">
        <v>88175000000</v>
      </c>
      <c r="D5">
        <v>490800</v>
      </c>
      <c r="E5">
        <v>20773000000</v>
      </c>
      <c r="F5" s="3">
        <v>54194000000</v>
      </c>
      <c r="G5">
        <v>57802000000</v>
      </c>
      <c r="H5">
        <v>10613000000</v>
      </c>
      <c r="I5">
        <v>32200</v>
      </c>
      <c r="J5">
        <v>490800</v>
      </c>
      <c r="K5">
        <v>8600</v>
      </c>
      <c r="L5">
        <v>6.6</v>
      </c>
      <c r="M5" s="4">
        <v>700000000</v>
      </c>
      <c r="N5" s="5">
        <v>536125</v>
      </c>
      <c r="O5">
        <v>10068000000</v>
      </c>
      <c r="P5">
        <v>20350000000</v>
      </c>
      <c r="Q5" s="5">
        <v>55000000000</v>
      </c>
      <c r="R5" s="5">
        <v>132169</v>
      </c>
      <c r="S5">
        <v>7474426443.4896364</v>
      </c>
      <c r="T5">
        <v>23859153053.184875</v>
      </c>
      <c r="U5">
        <v>48997137092.876167</v>
      </c>
      <c r="V5" s="2">
        <v>6.6</v>
      </c>
      <c r="W5">
        <v>14976864500.000002</v>
      </c>
      <c r="X5">
        <v>-5411800000</v>
      </c>
      <c r="Y5">
        <v>22733693200</v>
      </c>
      <c r="Z5" s="6">
        <v>0.41985003399999998</v>
      </c>
      <c r="AA5" s="6">
        <v>0.70679295200000003</v>
      </c>
      <c r="AB5" s="7">
        <v>21.05</v>
      </c>
      <c r="AC5" s="6">
        <v>0.03</v>
      </c>
      <c r="AD5" s="6">
        <v>3.0492675304412802</v>
      </c>
      <c r="AE5">
        <v>402.44478120803683</v>
      </c>
      <c r="AF5">
        <v>1070396710</v>
      </c>
      <c r="AG5">
        <v>10245456</v>
      </c>
    </row>
    <row r="6" spans="1:33">
      <c r="A6">
        <v>1998</v>
      </c>
      <c r="B6" s="2">
        <v>6.1</v>
      </c>
      <c r="C6" s="11">
        <v>100000000000</v>
      </c>
      <c r="D6">
        <v>499400</v>
      </c>
      <c r="E6">
        <v>23015000000</v>
      </c>
      <c r="F6" s="3">
        <v>65711000000</v>
      </c>
      <c r="G6">
        <v>62195000000</v>
      </c>
      <c r="H6">
        <v>11592000000</v>
      </c>
      <c r="I6">
        <v>34400</v>
      </c>
      <c r="J6">
        <v>499400</v>
      </c>
      <c r="K6">
        <v>10000</v>
      </c>
      <c r="L6">
        <v>6.8</v>
      </c>
      <c r="M6" s="4">
        <v>359300000</v>
      </c>
      <c r="N6" s="5">
        <v>558195</v>
      </c>
      <c r="O6">
        <v>11890000000</v>
      </c>
      <c r="P6">
        <v>21872800000</v>
      </c>
      <c r="Q6" s="5">
        <v>91980000000</v>
      </c>
      <c r="R6" s="5">
        <v>134748</v>
      </c>
      <c r="S6">
        <v>8286020095.0132618</v>
      </c>
      <c r="T6">
        <v>26966417547.517719</v>
      </c>
      <c r="U6">
        <v>56079845976.791618</v>
      </c>
      <c r="V6" s="2">
        <v>6.8</v>
      </c>
      <c r="W6">
        <v>15878357000</v>
      </c>
      <c r="X6">
        <v>-1623100000</v>
      </c>
      <c r="Y6">
        <v>22869522500</v>
      </c>
      <c r="Z6" s="6">
        <v>0.44839892100000001</v>
      </c>
      <c r="AA6" s="6">
        <v>0.69443348299999996</v>
      </c>
      <c r="AB6" s="7">
        <v>23.98</v>
      </c>
      <c r="AC6" s="6">
        <v>0.03</v>
      </c>
      <c r="AD6" s="6">
        <v>3.2980559999999999</v>
      </c>
      <c r="AE6">
        <v>306.46075740814007</v>
      </c>
      <c r="AF6">
        <v>935276353</v>
      </c>
      <c r="AG6">
        <v>131847308</v>
      </c>
    </row>
    <row r="7" spans="1:33">
      <c r="A7">
        <v>1999</v>
      </c>
      <c r="B7" s="2">
        <v>2.6</v>
      </c>
      <c r="C7" s="11">
        <v>108000000000</v>
      </c>
      <c r="D7">
        <v>506600</v>
      </c>
      <c r="E7">
        <v>27691000000</v>
      </c>
      <c r="F7" s="3">
        <v>69800000000</v>
      </c>
      <c r="G7">
        <v>72861000000</v>
      </c>
      <c r="H7">
        <v>12004000000</v>
      </c>
      <c r="I7">
        <v>39000</v>
      </c>
      <c r="J7">
        <v>506600</v>
      </c>
      <c r="K7">
        <v>12900</v>
      </c>
      <c r="L7">
        <v>6.9</v>
      </c>
      <c r="M7" s="4">
        <v>1200000000</v>
      </c>
      <c r="N7" s="5">
        <v>578085</v>
      </c>
      <c r="O7">
        <v>13668000000</v>
      </c>
      <c r="P7">
        <v>25795700000</v>
      </c>
      <c r="Q7" s="5">
        <v>55100000000</v>
      </c>
      <c r="R7" s="5">
        <v>138104</v>
      </c>
      <c r="S7">
        <v>5888360383.5586605</v>
      </c>
      <c r="T7">
        <v>29181951265.051571</v>
      </c>
      <c r="U7">
        <v>63287409047.261536</v>
      </c>
      <c r="V7" s="2">
        <v>6.9</v>
      </c>
      <c r="W7">
        <v>16197354499.999998</v>
      </c>
      <c r="X7">
        <v>-3760500000</v>
      </c>
      <c r="Y7">
        <v>29457245100</v>
      </c>
      <c r="Z7" s="6">
        <v>0.46578154199999999</v>
      </c>
      <c r="AA7" s="6">
        <v>0.686067447</v>
      </c>
      <c r="AB7" s="7">
        <v>25.15</v>
      </c>
      <c r="AC7" s="6">
        <v>0.03</v>
      </c>
      <c r="AD7" s="6">
        <v>3.506443</v>
      </c>
      <c r="AE7">
        <v>449.2286161422706</v>
      </c>
      <c r="AF7">
        <v>1216971356.0104358</v>
      </c>
      <c r="AG7">
        <v>4501769.7</v>
      </c>
    </row>
    <row r="8" spans="1:33">
      <c r="A8">
        <v>2000</v>
      </c>
      <c r="B8" s="2">
        <v>8.1999999999999993</v>
      </c>
      <c r="C8" s="11">
        <v>120000000000</v>
      </c>
      <c r="D8">
        <v>503000</v>
      </c>
      <c r="E8">
        <v>30887000000</v>
      </c>
      <c r="F8" s="3">
        <v>72777000000</v>
      </c>
      <c r="G8">
        <v>74513000000</v>
      </c>
      <c r="H8">
        <v>13301000000</v>
      </c>
      <c r="I8">
        <v>32700</v>
      </c>
      <c r="J8">
        <v>503000</v>
      </c>
      <c r="K8">
        <v>14600</v>
      </c>
      <c r="L8">
        <v>4.2</v>
      </c>
      <c r="M8" s="4">
        <v>12454090775.92</v>
      </c>
      <c r="N8" s="5">
        <v>656453</v>
      </c>
      <c r="O8">
        <v>14234000000</v>
      </c>
      <c r="P8">
        <v>27189200000</v>
      </c>
      <c r="Q8" s="5">
        <v>70400000000</v>
      </c>
      <c r="R8" s="5">
        <v>143915</v>
      </c>
      <c r="S8">
        <v>7490740306.031394</v>
      </c>
      <c r="T8">
        <v>32420206899.834293</v>
      </c>
      <c r="U8">
        <v>71250220966.911575</v>
      </c>
      <c r="V8" s="2">
        <v>4.2</v>
      </c>
      <c r="W8">
        <v>16629145000</v>
      </c>
      <c r="X8">
        <v>-3786200000</v>
      </c>
      <c r="Y8">
        <v>27595219000</v>
      </c>
      <c r="Z8" s="6">
        <v>0.47510482599999998</v>
      </c>
      <c r="AA8" s="6">
        <v>0.67645229299999998</v>
      </c>
      <c r="AB8" s="7">
        <v>26.26</v>
      </c>
      <c r="AC8" s="6">
        <v>0.03</v>
      </c>
      <c r="AD8" s="6">
        <v>3.9360115528106601</v>
      </c>
      <c r="AE8">
        <v>749.41969700000004</v>
      </c>
      <c r="AF8">
        <v>2054394903.6000001</v>
      </c>
      <c r="AG8">
        <v>29636100</v>
      </c>
    </row>
    <row r="9" spans="1:33">
      <c r="A9">
        <v>2001</v>
      </c>
      <c r="B9" s="2">
        <v>3.2</v>
      </c>
      <c r="C9" s="11">
        <v>132000000000</v>
      </c>
      <c r="D9">
        <v>505800</v>
      </c>
      <c r="E9">
        <v>37464000000</v>
      </c>
      <c r="F9" s="3">
        <v>83842000000</v>
      </c>
      <c r="G9">
        <v>82986000000</v>
      </c>
      <c r="H9">
        <v>15454000000</v>
      </c>
      <c r="I9">
        <v>35100</v>
      </c>
      <c r="J9">
        <v>505800</v>
      </c>
      <c r="K9">
        <v>16500</v>
      </c>
      <c r="L9">
        <v>5.4</v>
      </c>
      <c r="M9" s="4">
        <v>1445908811.6199999</v>
      </c>
      <c r="N9" s="5">
        <v>660318</v>
      </c>
      <c r="O9">
        <v>18166000000</v>
      </c>
      <c r="P9">
        <v>31581700000</v>
      </c>
      <c r="Q9" s="5">
        <v>71900000000</v>
      </c>
      <c r="R9" s="5">
        <v>147037</v>
      </c>
      <c r="S9">
        <v>8751768555.1255436</v>
      </c>
      <c r="T9">
        <v>36497697030.89286</v>
      </c>
      <c r="U9">
        <v>77993924905.846741</v>
      </c>
      <c r="V9" s="2">
        <v>5.4</v>
      </c>
      <c r="W9">
        <v>17806247100</v>
      </c>
      <c r="X9">
        <v>-2586100000</v>
      </c>
      <c r="Y9">
        <v>29981141100</v>
      </c>
      <c r="Z9" s="6">
        <v>0.516466592</v>
      </c>
      <c r="AA9" s="6">
        <v>0.64644716700000004</v>
      </c>
      <c r="AB9" s="7">
        <v>29.07</v>
      </c>
      <c r="AC9" s="6">
        <v>0.03</v>
      </c>
      <c r="AD9" s="6">
        <v>4.0271525382995597</v>
      </c>
      <c r="AE9">
        <v>711.30922393798608</v>
      </c>
      <c r="AF9">
        <v>2024467067.7</v>
      </c>
      <c r="AG9">
        <v>10351757</v>
      </c>
    </row>
    <row r="10" spans="1:33">
      <c r="A10">
        <v>2002</v>
      </c>
      <c r="B10" s="2">
        <v>1.6</v>
      </c>
      <c r="C10" s="11">
        <v>142000000000</v>
      </c>
      <c r="D10">
        <v>509800</v>
      </c>
      <c r="E10">
        <v>39382000000</v>
      </c>
      <c r="F10" s="3">
        <v>73907000000</v>
      </c>
      <c r="G10">
        <v>83964000000</v>
      </c>
      <c r="H10">
        <v>18159000000</v>
      </c>
      <c r="I10">
        <v>38600</v>
      </c>
      <c r="J10">
        <v>509800</v>
      </c>
      <c r="K10">
        <v>17000</v>
      </c>
      <c r="L10">
        <v>6.4</v>
      </c>
      <c r="M10" s="4">
        <v>1470076213.71</v>
      </c>
      <c r="N10" s="5">
        <v>681648</v>
      </c>
      <c r="O10">
        <v>18328000000</v>
      </c>
      <c r="P10">
        <v>32924700000</v>
      </c>
      <c r="Q10" s="5">
        <v>77900000000</v>
      </c>
      <c r="R10" s="5">
        <v>150262</v>
      </c>
      <c r="S10">
        <v>7990490898.2730637</v>
      </c>
      <c r="T10">
        <v>38407798987.420052</v>
      </c>
      <c r="U10">
        <v>85739556845.396149</v>
      </c>
      <c r="V10" s="2">
        <v>6.4</v>
      </c>
      <c r="W10">
        <v>18440080400.000004</v>
      </c>
      <c r="X10">
        <v>-8352100000</v>
      </c>
      <c r="Y10">
        <v>31075227000</v>
      </c>
      <c r="Z10" s="6">
        <v>0.54266482800000004</v>
      </c>
      <c r="AA10" s="6">
        <v>0.697374147</v>
      </c>
      <c r="AB10" s="7">
        <v>29.96</v>
      </c>
      <c r="AC10" s="6">
        <v>0.03</v>
      </c>
      <c r="AD10" s="6">
        <v>4.0787170000000001</v>
      </c>
      <c r="AE10">
        <v>748.55898879999995</v>
      </c>
      <c r="AF10">
        <v>2046964869.6000001</v>
      </c>
      <c r="AG10">
        <v>61593930.770000003</v>
      </c>
    </row>
    <row r="11" spans="1:33">
      <c r="A11">
        <v>2003</v>
      </c>
      <c r="B11" s="2">
        <v>6</v>
      </c>
      <c r="C11" s="11">
        <v>162000000000</v>
      </c>
      <c r="D11">
        <v>514100</v>
      </c>
      <c r="E11">
        <v>38852000000</v>
      </c>
      <c r="F11" s="3">
        <v>72646000000</v>
      </c>
      <c r="G11">
        <v>86694000000</v>
      </c>
      <c r="H11">
        <v>20403000000</v>
      </c>
      <c r="I11">
        <v>42100</v>
      </c>
      <c r="J11">
        <v>514100</v>
      </c>
      <c r="K11">
        <v>18200</v>
      </c>
      <c r="L11">
        <v>3.9</v>
      </c>
      <c r="M11" s="4">
        <v>3171365015.6500001</v>
      </c>
      <c r="N11" s="5">
        <v>702018</v>
      </c>
      <c r="O11">
        <v>19415000000</v>
      </c>
      <c r="P11">
        <v>38552600000</v>
      </c>
      <c r="Q11" s="5">
        <v>73300000000</v>
      </c>
      <c r="R11" s="5">
        <v>153393</v>
      </c>
      <c r="S11">
        <v>8491085395.2261877</v>
      </c>
      <c r="T11">
        <v>40890961390.582611</v>
      </c>
      <c r="U11">
        <v>93102663721.123367</v>
      </c>
      <c r="V11" s="2">
        <v>3.9</v>
      </c>
      <c r="W11">
        <v>19444556999.999996</v>
      </c>
      <c r="X11">
        <v>-9512299999.9999905</v>
      </c>
      <c r="Y11">
        <v>36508274900</v>
      </c>
      <c r="Z11" s="6">
        <v>0.59402977400000001</v>
      </c>
      <c r="AA11" s="6">
        <v>0.77488531299999996</v>
      </c>
      <c r="AB11" s="7">
        <v>28.38</v>
      </c>
      <c r="AC11" s="6">
        <v>0.03</v>
      </c>
      <c r="AD11" s="6">
        <v>4.3376729999999997</v>
      </c>
      <c r="AE11">
        <v>819.73194774627484</v>
      </c>
      <c r="AF11">
        <v>2021649867.5999999</v>
      </c>
      <c r="AG11">
        <v>37683250</v>
      </c>
    </row>
    <row r="12" spans="1:33">
      <c r="A12">
        <v>2004</v>
      </c>
      <c r="B12" s="2">
        <v>4.3</v>
      </c>
      <c r="C12" s="11">
        <v>181000000000</v>
      </c>
      <c r="D12">
        <v>519000</v>
      </c>
      <c r="E12">
        <v>39735000000</v>
      </c>
      <c r="F12" s="3">
        <v>180908000000</v>
      </c>
      <c r="G12">
        <v>99025000000</v>
      </c>
      <c r="H12">
        <v>23617000000</v>
      </c>
      <c r="I12">
        <v>43700</v>
      </c>
      <c r="J12">
        <v>519000</v>
      </c>
      <c r="K12">
        <v>17500</v>
      </c>
      <c r="L12">
        <v>4.7</v>
      </c>
      <c r="M12" s="4">
        <v>2940482057.2199998</v>
      </c>
      <c r="N12" s="5">
        <v>718861</v>
      </c>
      <c r="O12">
        <v>23448000000</v>
      </c>
      <c r="P12">
        <v>41963400000</v>
      </c>
      <c r="Q12" s="5">
        <v>73200000000</v>
      </c>
      <c r="R12" s="5">
        <v>155598</v>
      </c>
      <c r="S12">
        <v>9635052676.134655</v>
      </c>
      <c r="T12">
        <v>44069634736.174759</v>
      </c>
      <c r="U12">
        <v>104030160945.30249</v>
      </c>
      <c r="V12" s="2">
        <v>4.7</v>
      </c>
      <c r="W12">
        <v>20868555000</v>
      </c>
      <c r="X12">
        <v>-8788299999.9999905</v>
      </c>
      <c r="Y12">
        <v>39270660000</v>
      </c>
      <c r="Z12" s="6">
        <v>0.62901445899999997</v>
      </c>
      <c r="AA12" s="6">
        <v>0.85463414599999998</v>
      </c>
      <c r="AB12" s="7">
        <v>27.75</v>
      </c>
      <c r="AC12" s="6">
        <v>0.03</v>
      </c>
      <c r="AD12" s="6">
        <v>4.729063</v>
      </c>
      <c r="AE12">
        <v>1059.6982555389382</v>
      </c>
      <c r="AF12">
        <v>2408566800</v>
      </c>
      <c r="AG12">
        <v>53995036</v>
      </c>
    </row>
    <row r="13" spans="1:33">
      <c r="A13">
        <v>2005</v>
      </c>
      <c r="B13" s="2">
        <v>1.5</v>
      </c>
      <c r="C13" s="11">
        <v>191000000000</v>
      </c>
      <c r="D13">
        <v>528600</v>
      </c>
      <c r="E13">
        <v>31313000000</v>
      </c>
      <c r="F13" s="3">
        <v>112969000000</v>
      </c>
      <c r="G13" s="11">
        <v>124000000000</v>
      </c>
      <c r="H13">
        <v>25958000000</v>
      </c>
      <c r="I13">
        <v>50500</v>
      </c>
      <c r="J13">
        <v>528600</v>
      </c>
      <c r="K13">
        <v>16600</v>
      </c>
      <c r="L13">
        <v>4.9000000000000004</v>
      </c>
      <c r="M13" s="4">
        <v>4282915442.9400001</v>
      </c>
      <c r="N13" s="5">
        <v>761063</v>
      </c>
      <c r="O13">
        <v>25704000000</v>
      </c>
      <c r="P13">
        <v>44387100000</v>
      </c>
      <c r="Q13" s="5">
        <v>129200000000</v>
      </c>
      <c r="R13" s="5">
        <v>159393</v>
      </c>
      <c r="S13">
        <v>9615377785.1190166</v>
      </c>
      <c r="T13">
        <v>44629966881.703247</v>
      </c>
      <c r="U13">
        <v>113970647612.64934</v>
      </c>
      <c r="V13" s="2">
        <v>4.9000000000000004</v>
      </c>
      <c r="W13">
        <v>22845583400.000004</v>
      </c>
      <c r="X13">
        <v>-9004900000</v>
      </c>
      <c r="Y13">
        <v>41111018200</v>
      </c>
      <c r="Z13" s="6">
        <v>0.67954167799999998</v>
      </c>
      <c r="AA13" s="6">
        <v>0.82179046</v>
      </c>
      <c r="AB13" s="7">
        <v>29.23</v>
      </c>
      <c r="AC13" s="6">
        <v>0.03</v>
      </c>
      <c r="AD13" s="6">
        <v>5.0094019999999997</v>
      </c>
      <c r="AE13">
        <v>1591.1083292770368</v>
      </c>
      <c r="AF13">
        <v>3162295648.1933451</v>
      </c>
      <c r="AG13">
        <v>192142064.04000002</v>
      </c>
    </row>
    <row r="14" spans="1:33">
      <c r="A14">
        <v>2006</v>
      </c>
      <c r="B14" s="2">
        <v>4.5</v>
      </c>
      <c r="C14" s="11">
        <v>223000000000</v>
      </c>
      <c r="D14">
        <v>532400</v>
      </c>
      <c r="E14">
        <v>34554000000</v>
      </c>
      <c r="F14" s="3">
        <v>130254000000</v>
      </c>
      <c r="G14" s="11">
        <v>151000000000</v>
      </c>
      <c r="H14" s="11">
        <v>198000000000</v>
      </c>
      <c r="I14">
        <v>48100</v>
      </c>
      <c r="J14">
        <v>532400</v>
      </c>
      <c r="K14">
        <v>16700</v>
      </c>
      <c r="L14">
        <v>8.9</v>
      </c>
      <c r="M14" s="4">
        <v>10248874629.17</v>
      </c>
      <c r="N14" s="5">
        <v>788276</v>
      </c>
      <c r="O14">
        <v>31942000000</v>
      </c>
      <c r="P14">
        <v>48875200000</v>
      </c>
      <c r="Q14" s="5">
        <v>139700000000</v>
      </c>
      <c r="R14" s="5">
        <v>160629</v>
      </c>
      <c r="S14">
        <v>11767000000</v>
      </c>
      <c r="T14">
        <v>48949000000</v>
      </c>
      <c r="U14" s="11">
        <v>137839000000</v>
      </c>
      <c r="V14" s="2">
        <v>8.9</v>
      </c>
      <c r="W14">
        <v>25258600500</v>
      </c>
      <c r="X14">
        <v>-10344500000</v>
      </c>
      <c r="Y14">
        <v>51695000000</v>
      </c>
      <c r="Z14" s="6">
        <v>0.731829701</v>
      </c>
      <c r="AA14" s="6">
        <v>0.83296847299999999</v>
      </c>
      <c r="AB14" s="7">
        <v>31.15</v>
      </c>
      <c r="AC14" s="6">
        <v>0.03</v>
      </c>
      <c r="AD14" s="6">
        <v>5.4338755607604901</v>
      </c>
      <c r="AE14">
        <v>2028.6225679999998</v>
      </c>
      <c r="AF14">
        <v>3395166215</v>
      </c>
      <c r="AG14">
        <v>92536484.400000006</v>
      </c>
    </row>
    <row r="15" spans="1:33">
      <c r="A15">
        <v>2007</v>
      </c>
      <c r="B15" s="2">
        <v>5.7</v>
      </c>
      <c r="C15" s="11">
        <v>255000000000</v>
      </c>
      <c r="D15">
        <v>527500</v>
      </c>
      <c r="E15">
        <v>42984000000</v>
      </c>
      <c r="F15" s="3">
        <v>142580000000</v>
      </c>
      <c r="G15" s="11">
        <v>164000000000</v>
      </c>
      <c r="H15" s="11">
        <v>215000000000</v>
      </c>
      <c r="I15">
        <v>44700</v>
      </c>
      <c r="J15">
        <v>527500</v>
      </c>
      <c r="K15">
        <v>21600</v>
      </c>
      <c r="L15">
        <v>8.8000000000000007</v>
      </c>
      <c r="M15" s="4">
        <v>16546003630.6</v>
      </c>
      <c r="N15" s="5">
        <v>906971</v>
      </c>
      <c r="O15">
        <v>40687000000</v>
      </c>
      <c r="P15">
        <v>51233100000</v>
      </c>
      <c r="Q15" s="5">
        <v>144900000000</v>
      </c>
      <c r="R15" s="5">
        <v>163834</v>
      </c>
      <c r="S15">
        <v>12048000000</v>
      </c>
      <c r="T15">
        <v>56658000000</v>
      </c>
      <c r="U15" s="11">
        <v>157957000000</v>
      </c>
      <c r="V15" s="2">
        <v>8.8000000000000007</v>
      </c>
      <c r="W15">
        <v>28158966800.000004</v>
      </c>
      <c r="X15">
        <v>-9439200000</v>
      </c>
      <c r="Y15">
        <v>61239000000</v>
      </c>
      <c r="Z15" s="6">
        <v>0.76598376700000004</v>
      </c>
      <c r="AA15" s="6">
        <v>0.909956082</v>
      </c>
      <c r="AB15" s="7">
        <v>31.37</v>
      </c>
      <c r="AC15" s="6">
        <v>0.03</v>
      </c>
      <c r="AD15" s="6">
        <v>5.8316429999999997</v>
      </c>
      <c r="AE15">
        <v>2273.5649048999999</v>
      </c>
      <c r="AF15">
        <v>3570755013.8091993</v>
      </c>
      <c r="AG15">
        <v>139085727.44</v>
      </c>
    </row>
    <row r="16" spans="1:33">
      <c r="A16">
        <v>2008</v>
      </c>
      <c r="B16" s="2">
        <v>5.4</v>
      </c>
      <c r="C16" s="11">
        <v>284000000000</v>
      </c>
      <c r="D16">
        <v>531800</v>
      </c>
      <c r="E16">
        <v>38766000000</v>
      </c>
      <c r="F16" s="3">
        <v>145170000000</v>
      </c>
      <c r="G16" s="11">
        <v>181000000000</v>
      </c>
      <c r="H16" s="11">
        <v>252000000000</v>
      </c>
      <c r="I16">
        <v>38100</v>
      </c>
      <c r="J16">
        <v>531800</v>
      </c>
      <c r="K16">
        <v>24000</v>
      </c>
      <c r="L16">
        <v>9.6999999999999993</v>
      </c>
      <c r="M16" s="4">
        <v>18059971347.32</v>
      </c>
      <c r="N16" s="5">
        <v>930456</v>
      </c>
      <c r="O16">
        <v>41213000000</v>
      </c>
      <c r="P16">
        <v>60105600000</v>
      </c>
      <c r="Q16" s="5">
        <v>143200000000</v>
      </c>
      <c r="R16" s="5">
        <v>166553</v>
      </c>
      <c r="S16">
        <v>12621000000</v>
      </c>
      <c r="T16">
        <v>65300000000</v>
      </c>
      <c r="U16" s="11">
        <v>175134000000</v>
      </c>
      <c r="V16" s="2">
        <v>9.6999999999999993</v>
      </c>
      <c r="W16">
        <v>27466777670.000004</v>
      </c>
      <c r="X16">
        <v>-8321100000</v>
      </c>
      <c r="Y16">
        <v>67529000000</v>
      </c>
      <c r="Z16" s="6">
        <v>0.80519359499999998</v>
      </c>
      <c r="AA16" s="6">
        <v>0.98967047600000002</v>
      </c>
      <c r="AB16" s="7">
        <v>28.361000000000001</v>
      </c>
      <c r="AC16" s="6">
        <v>0.03</v>
      </c>
      <c r="AD16" s="6">
        <v>5.9484859999999999</v>
      </c>
      <c r="AE16">
        <v>2749.9035471400002</v>
      </c>
      <c r="AF16">
        <v>3697591340.2709751</v>
      </c>
      <c r="AG16">
        <v>70795157</v>
      </c>
    </row>
    <row r="17" spans="1:33">
      <c r="A17">
        <v>2009</v>
      </c>
      <c r="B17" s="2">
        <v>3.3</v>
      </c>
      <c r="C17" s="11">
        <v>292000000000</v>
      </c>
      <c r="D17">
        <v>540200</v>
      </c>
      <c r="E17">
        <v>33724000000</v>
      </c>
      <c r="F17" s="3">
        <v>139101000000</v>
      </c>
      <c r="G17" s="11">
        <v>165000000000</v>
      </c>
      <c r="H17" s="11">
        <v>284000000000</v>
      </c>
      <c r="I17">
        <v>39300</v>
      </c>
      <c r="J17">
        <v>540200</v>
      </c>
      <c r="K17">
        <v>21000</v>
      </c>
      <c r="L17">
        <v>2.5</v>
      </c>
      <c r="M17" s="4">
        <v>12380962959.719999</v>
      </c>
      <c r="N17" s="5">
        <v>871356</v>
      </c>
      <c r="O17">
        <v>35693000000</v>
      </c>
      <c r="P17">
        <v>66229000000</v>
      </c>
      <c r="Q17" s="5">
        <v>172800000000</v>
      </c>
      <c r="R17" s="5">
        <v>171827</v>
      </c>
      <c r="S17">
        <v>12363000000</v>
      </c>
      <c r="T17">
        <v>67083000000</v>
      </c>
      <c r="U17" s="11">
        <v>181573000000</v>
      </c>
      <c r="V17" s="2">
        <v>2.5</v>
      </c>
      <c r="W17">
        <v>28634467679.999996</v>
      </c>
      <c r="X17">
        <v>-8432000000</v>
      </c>
      <c r="Y17">
        <v>74430000000</v>
      </c>
      <c r="Z17" s="6">
        <v>0.88328589400000002</v>
      </c>
      <c r="AA17" s="6">
        <v>0.86089137400000004</v>
      </c>
      <c r="AB17" s="7">
        <v>31.940999999999999</v>
      </c>
      <c r="AC17" s="6">
        <v>0.03</v>
      </c>
      <c r="AD17" s="6">
        <v>5.2440300000000004</v>
      </c>
      <c r="AE17">
        <v>1963.0787219467156</v>
      </c>
      <c r="AF17">
        <v>2950030194.9299998</v>
      </c>
      <c r="AG17">
        <v>60691696</v>
      </c>
    </row>
    <row r="18" spans="1:33">
      <c r="A18">
        <v>2010</v>
      </c>
      <c r="B18" s="2">
        <v>4.4000000000000004</v>
      </c>
      <c r="C18" s="11">
        <v>308000000000</v>
      </c>
      <c r="D18">
        <v>551900</v>
      </c>
      <c r="E18">
        <v>37240000000</v>
      </c>
      <c r="F18" s="3">
        <v>157790000000</v>
      </c>
      <c r="G18" s="11">
        <v>191000000000</v>
      </c>
      <c r="H18" s="11">
        <v>287000000000</v>
      </c>
      <c r="I18">
        <v>42200</v>
      </c>
      <c r="J18">
        <v>551900</v>
      </c>
      <c r="K18">
        <v>22000</v>
      </c>
      <c r="L18">
        <v>2.9</v>
      </c>
      <c r="M18" s="4">
        <v>20388988903.470001</v>
      </c>
      <c r="N18" s="5">
        <v>934827</v>
      </c>
      <c r="O18">
        <v>39456000000</v>
      </c>
      <c r="P18">
        <v>75059000000</v>
      </c>
      <c r="Q18" s="5">
        <v>176000000000</v>
      </c>
      <c r="R18" s="5">
        <v>178581</v>
      </c>
      <c r="S18">
        <v>12389000000</v>
      </c>
      <c r="T18">
        <v>68031000000</v>
      </c>
      <c r="U18" s="11">
        <v>193583000000</v>
      </c>
      <c r="V18" s="2">
        <v>2.9</v>
      </c>
      <c r="W18">
        <v>29703206200</v>
      </c>
      <c r="X18">
        <v>-5101200000</v>
      </c>
      <c r="Y18">
        <v>74395000000</v>
      </c>
      <c r="Z18" s="6">
        <v>0.907304306</v>
      </c>
      <c r="AA18" s="6">
        <v>0.88893339299999996</v>
      </c>
      <c r="AB18" s="7">
        <v>30.89</v>
      </c>
      <c r="AC18" s="6">
        <v>0.03</v>
      </c>
      <c r="AD18" s="6">
        <v>5.7064380000000003</v>
      </c>
      <c r="AE18">
        <v>2455.0219803</v>
      </c>
      <c r="AF18">
        <v>3484377482.6049533</v>
      </c>
      <c r="AG18">
        <v>1291075964.3800001</v>
      </c>
    </row>
    <row r="19" spans="1:33">
      <c r="A19">
        <v>2011</v>
      </c>
      <c r="B19" s="2">
        <v>4.0999999999999996</v>
      </c>
      <c r="C19" s="11">
        <v>331000000000</v>
      </c>
      <c r="D19">
        <v>548600</v>
      </c>
      <c r="E19">
        <v>42440000000</v>
      </c>
      <c r="F19" s="3">
        <v>173405000000</v>
      </c>
      <c r="G19" s="11">
        <v>214000000000</v>
      </c>
      <c r="H19" s="11">
        <v>306000000000</v>
      </c>
      <c r="I19">
        <v>42700</v>
      </c>
      <c r="J19">
        <v>548600</v>
      </c>
      <c r="K19">
        <v>23000</v>
      </c>
      <c r="L19">
        <v>6.5</v>
      </c>
      <c r="M19" s="4">
        <v>20212882695.049999</v>
      </c>
      <c r="N19" s="5">
        <v>964642</v>
      </c>
      <c r="O19">
        <v>42717000000</v>
      </c>
      <c r="P19">
        <v>79570000000</v>
      </c>
      <c r="Q19" s="5">
        <v>185300000000</v>
      </c>
      <c r="R19" s="5">
        <v>189475</v>
      </c>
      <c r="S19">
        <v>13287000000</v>
      </c>
      <c r="T19">
        <v>70378000000</v>
      </c>
      <c r="U19" s="11">
        <v>208952000000</v>
      </c>
      <c r="V19" s="2">
        <v>6.5</v>
      </c>
      <c r="W19">
        <v>29861762500</v>
      </c>
      <c r="X19">
        <v>-12007700000</v>
      </c>
      <c r="Y19">
        <v>77567000000</v>
      </c>
      <c r="Z19" s="6">
        <v>0.91942678600000005</v>
      </c>
      <c r="AA19" s="6">
        <v>0.995970095</v>
      </c>
      <c r="AB19" s="7">
        <v>28.75</v>
      </c>
      <c r="AC19" s="6">
        <v>0.03</v>
      </c>
      <c r="AD19" s="6">
        <v>5.9626693725585902</v>
      </c>
      <c r="AE19">
        <v>3198.0323696136252</v>
      </c>
      <c r="AF19">
        <v>3646017961.5020723</v>
      </c>
      <c r="AG19">
        <v>399773696.30000001</v>
      </c>
    </row>
    <row r="20" spans="1:33">
      <c r="A20">
        <v>2012</v>
      </c>
      <c r="B20" s="2">
        <v>3.5</v>
      </c>
      <c r="C20" s="11">
        <v>351000000000</v>
      </c>
      <c r="D20">
        <v>556300</v>
      </c>
      <c r="E20">
        <v>43557000000</v>
      </c>
      <c r="F20" s="3">
        <v>188619000000</v>
      </c>
      <c r="G20" s="11">
        <v>229000000000</v>
      </c>
      <c r="H20" s="11">
        <v>328000000000</v>
      </c>
      <c r="I20">
        <v>44600</v>
      </c>
      <c r="J20">
        <v>556300</v>
      </c>
      <c r="K20">
        <v>24000</v>
      </c>
      <c r="L20">
        <v>3.9</v>
      </c>
      <c r="M20" s="4">
        <v>30508681012.07</v>
      </c>
      <c r="N20" s="5">
        <v>965441</v>
      </c>
      <c r="O20">
        <v>44378000000</v>
      </c>
      <c r="P20">
        <v>71508700000</v>
      </c>
      <c r="Q20" s="5">
        <v>196100000000</v>
      </c>
      <c r="R20" s="5">
        <v>196457</v>
      </c>
      <c r="S20">
        <v>13824000000</v>
      </c>
      <c r="T20">
        <v>72424000000</v>
      </c>
      <c r="U20" s="11">
        <v>223072000000</v>
      </c>
      <c r="V20" s="2">
        <v>3.9</v>
      </c>
      <c r="W20">
        <v>29991057200</v>
      </c>
      <c r="X20">
        <v>-11139000000</v>
      </c>
      <c r="Y20">
        <v>79185000000</v>
      </c>
      <c r="Z20" s="6">
        <v>0.96915690200000004</v>
      </c>
      <c r="AA20" s="6">
        <v>1</v>
      </c>
      <c r="AB20" s="7">
        <v>29.93</v>
      </c>
      <c r="AC20" s="6">
        <v>0.03</v>
      </c>
      <c r="AD20" s="6">
        <v>6.0173964500427202</v>
      </c>
      <c r="AE20">
        <v>3342.3874001312224</v>
      </c>
      <c r="AF20">
        <v>3853948422</v>
      </c>
      <c r="AG20">
        <v>246097015.84</v>
      </c>
    </row>
    <row r="21" spans="1:33">
      <c r="A21">
        <v>2013</v>
      </c>
      <c r="B21" s="2">
        <v>3.4</v>
      </c>
      <c r="C21" s="11">
        <v>377000000000</v>
      </c>
      <c r="D21">
        <v>571200</v>
      </c>
      <c r="E21">
        <v>43316000000</v>
      </c>
      <c r="F21" s="3">
        <v>198416000000</v>
      </c>
      <c r="G21" s="11">
        <v>228000000000</v>
      </c>
      <c r="H21" s="11">
        <v>351000000000</v>
      </c>
      <c r="I21">
        <v>45500</v>
      </c>
      <c r="J21">
        <v>571200</v>
      </c>
      <c r="K21">
        <v>26300</v>
      </c>
      <c r="L21">
        <v>3.5</v>
      </c>
      <c r="M21" s="4">
        <v>20177283144.099998</v>
      </c>
      <c r="N21" s="5">
        <v>992503</v>
      </c>
      <c r="O21">
        <v>40557000000</v>
      </c>
      <c r="P21">
        <v>81415000000</v>
      </c>
      <c r="Q21" s="5">
        <v>214800000000</v>
      </c>
      <c r="R21" s="5">
        <v>205146</v>
      </c>
      <c r="S21">
        <v>13560000000</v>
      </c>
      <c r="T21">
        <v>75726000000</v>
      </c>
      <c r="U21" s="11">
        <v>241088000000</v>
      </c>
      <c r="V21" s="2">
        <v>3.5</v>
      </c>
      <c r="W21">
        <v>30413421410</v>
      </c>
      <c r="X21">
        <v>-7404600000</v>
      </c>
      <c r="Y21">
        <v>77618000000</v>
      </c>
      <c r="Z21" s="6">
        <v>0.95460922400000003</v>
      </c>
      <c r="AA21" s="6">
        <v>0.99294108699999994</v>
      </c>
      <c r="AB21" s="7">
        <v>30.658999999999999</v>
      </c>
      <c r="AC21" s="6">
        <v>0.03</v>
      </c>
      <c r="AD21" s="6">
        <v>6.2718069999999999</v>
      </c>
      <c r="AE21">
        <v>3331.6168691940029</v>
      </c>
      <c r="AF21">
        <v>4287566107.0999999</v>
      </c>
      <c r="AG21">
        <v>116626280.32000001</v>
      </c>
    </row>
    <row r="22" spans="1:33">
      <c r="A22">
        <v>2014</v>
      </c>
      <c r="B22" s="2">
        <v>3.8</v>
      </c>
      <c r="C22" s="11">
        <v>400000000000</v>
      </c>
      <c r="D22">
        <v>575700</v>
      </c>
      <c r="E22">
        <v>44345000000</v>
      </c>
      <c r="F22" s="3">
        <v>210283000000</v>
      </c>
      <c r="G22" s="11">
        <v>244000000000</v>
      </c>
      <c r="H22" s="11">
        <v>378000000000</v>
      </c>
      <c r="I22">
        <v>44800</v>
      </c>
      <c r="J22">
        <v>575700</v>
      </c>
      <c r="K22">
        <v>28300</v>
      </c>
      <c r="L22">
        <v>3.2</v>
      </c>
      <c r="M22" s="4">
        <v>27182268299.57</v>
      </c>
      <c r="N22" s="5">
        <v>1038334</v>
      </c>
      <c r="O22">
        <v>44304000000</v>
      </c>
      <c r="P22">
        <v>92225000000</v>
      </c>
      <c r="Q22" s="5">
        <v>237700000000</v>
      </c>
      <c r="R22" s="5">
        <v>214668</v>
      </c>
      <c r="S22">
        <v>13862000000</v>
      </c>
      <c r="T22">
        <v>77858000000</v>
      </c>
      <c r="U22" s="11">
        <v>260007000000</v>
      </c>
      <c r="V22" s="2">
        <v>3.2</v>
      </c>
      <c r="W22">
        <v>30207956880</v>
      </c>
      <c r="X22">
        <v>-13257200000</v>
      </c>
      <c r="Y22">
        <v>73990000000</v>
      </c>
      <c r="Z22" s="6">
        <v>0.97765965099999996</v>
      </c>
      <c r="AA22" s="6">
        <v>0.99674064799999995</v>
      </c>
      <c r="AB22" s="7">
        <v>30.617000000000001</v>
      </c>
      <c r="AC22" s="6">
        <v>0.03</v>
      </c>
      <c r="AD22" s="6">
        <v>6.464156</v>
      </c>
      <c r="AE22">
        <v>3031.2143469299999</v>
      </c>
      <c r="AF22">
        <v>3530649184.2422357</v>
      </c>
      <c r="AG22">
        <v>47260056</v>
      </c>
    </row>
    <row r="23" spans="1:33">
      <c r="A23">
        <v>2015</v>
      </c>
      <c r="B23" s="2">
        <v>3.7</v>
      </c>
      <c r="C23" s="11">
        <v>421000000000</v>
      </c>
      <c r="D23">
        <v>584600</v>
      </c>
      <c r="E23">
        <v>46064000000</v>
      </c>
      <c r="F23" s="3">
        <v>216773000000</v>
      </c>
      <c r="G23" s="11">
        <v>240000000000</v>
      </c>
      <c r="H23" s="11">
        <v>418000000000</v>
      </c>
      <c r="I23">
        <v>46300</v>
      </c>
      <c r="J23">
        <v>584600</v>
      </c>
      <c r="K23">
        <v>28300</v>
      </c>
      <c r="L23">
        <v>1.3</v>
      </c>
      <c r="M23" s="4">
        <v>17619171228.32</v>
      </c>
      <c r="N23" s="5">
        <v>1151252</v>
      </c>
      <c r="O23">
        <v>50191000000</v>
      </c>
      <c r="P23" s="11">
        <v>103153000000</v>
      </c>
      <c r="Q23" s="5">
        <v>274300000000</v>
      </c>
      <c r="R23" s="5">
        <v>227143</v>
      </c>
      <c r="S23">
        <v>13978000000</v>
      </c>
      <c r="T23">
        <v>79744000000</v>
      </c>
      <c r="U23" s="11">
        <v>298535000000</v>
      </c>
      <c r="V23" s="2">
        <v>1.3</v>
      </c>
      <c r="W23">
        <v>31525858420</v>
      </c>
      <c r="X23">
        <v>-14820100000</v>
      </c>
      <c r="Y23">
        <v>71133000000</v>
      </c>
      <c r="Z23" s="6">
        <v>0.946503392</v>
      </c>
      <c r="AA23" s="6">
        <v>0.87607602699999998</v>
      </c>
      <c r="AB23" s="7">
        <v>35.122</v>
      </c>
      <c r="AC23" s="6">
        <v>0.03</v>
      </c>
      <c r="AD23" s="6">
        <v>6.7447530000000002</v>
      </c>
      <c r="AE23">
        <v>1838.75892456</v>
      </c>
      <c r="AF23">
        <v>4050150591.1407323</v>
      </c>
      <c r="AG23">
        <v>42995519</v>
      </c>
    </row>
    <row r="24" spans="1:33">
      <c r="A24">
        <v>2016</v>
      </c>
      <c r="B24" s="2">
        <v>3.9</v>
      </c>
      <c r="C24" s="11">
        <v>448000000000</v>
      </c>
      <c r="D24">
        <v>581000</v>
      </c>
      <c r="E24">
        <v>49495000000</v>
      </c>
      <c r="F24" s="3">
        <v>220113000000</v>
      </c>
      <c r="G24" s="11">
        <v>246000000000</v>
      </c>
      <c r="H24" s="11">
        <v>455000000000</v>
      </c>
      <c r="I24">
        <v>42400</v>
      </c>
      <c r="J24">
        <v>581000</v>
      </c>
      <c r="K24">
        <v>28600</v>
      </c>
      <c r="L24">
        <v>1</v>
      </c>
      <c r="M24" s="4">
        <v>22993730870.57</v>
      </c>
      <c r="N24" s="5">
        <v>1275227</v>
      </c>
      <c r="O24">
        <v>55867000000</v>
      </c>
      <c r="P24" s="11">
        <v>110560000000</v>
      </c>
      <c r="Q24" s="5">
        <v>295600000000</v>
      </c>
      <c r="R24" s="5">
        <v>242328</v>
      </c>
      <c r="S24">
        <v>15017000000</v>
      </c>
      <c r="T24">
        <v>82035000000</v>
      </c>
      <c r="U24" s="11">
        <v>296286000000</v>
      </c>
      <c r="V24" s="2">
        <v>1</v>
      </c>
      <c r="W24">
        <v>30867737112.348488</v>
      </c>
      <c r="X24">
        <v>-14918100000</v>
      </c>
      <c r="Y24">
        <v>74980000000</v>
      </c>
      <c r="Z24" s="6">
        <v>0.92268105099999997</v>
      </c>
      <c r="AA24" s="6">
        <v>0.88108838700000003</v>
      </c>
      <c r="AB24" s="7">
        <v>35.845201839826842</v>
      </c>
      <c r="AC24" s="6">
        <v>0.03</v>
      </c>
      <c r="AD24" s="6">
        <v>6.9526159999999999</v>
      </c>
      <c r="AE24">
        <v>1563.4276456467517</v>
      </c>
      <c r="AF24">
        <v>4133547788.3131242</v>
      </c>
      <c r="AG24">
        <v>41248606</v>
      </c>
    </row>
    <row r="25" spans="1:33">
      <c r="A25">
        <v>2017</v>
      </c>
      <c r="B25" s="2">
        <v>3.9</v>
      </c>
      <c r="C25" s="11">
        <v>473000000000</v>
      </c>
      <c r="D25">
        <v>586900</v>
      </c>
      <c r="E25">
        <v>45738000000</v>
      </c>
      <c r="F25" s="3">
        <v>227707000000</v>
      </c>
      <c r="G25" s="11">
        <v>251000000000</v>
      </c>
      <c r="H25" s="11">
        <v>491000000000</v>
      </c>
      <c r="I25">
        <v>41800</v>
      </c>
      <c r="J25">
        <v>586900</v>
      </c>
      <c r="K25">
        <v>28400</v>
      </c>
      <c r="L25">
        <v>3.7</v>
      </c>
      <c r="M25" s="4">
        <v>29157451757.220001</v>
      </c>
      <c r="N25" s="5">
        <v>1341860</v>
      </c>
      <c r="O25">
        <v>60262000000</v>
      </c>
      <c r="P25" s="11">
        <v>122280000000</v>
      </c>
      <c r="Q25" s="5">
        <v>302100000000</v>
      </c>
      <c r="R25" s="5">
        <v>255221</v>
      </c>
      <c r="S25">
        <v>15482000000</v>
      </c>
      <c r="T25">
        <v>82672000000</v>
      </c>
      <c r="U25" s="11">
        <v>314897000000</v>
      </c>
      <c r="V25" s="2">
        <v>3.7</v>
      </c>
      <c r="W25">
        <v>30297321914.558941</v>
      </c>
      <c r="X25">
        <v>-15635800000</v>
      </c>
      <c r="Y25">
        <v>79490000000</v>
      </c>
      <c r="Z25" s="6">
        <v>0.94056441599999996</v>
      </c>
      <c r="AA25" s="6">
        <v>0.89816560499999998</v>
      </c>
      <c r="AB25" s="7">
        <v>34.779334788790351</v>
      </c>
      <c r="AC25" s="6">
        <v>0.03</v>
      </c>
      <c r="AD25" s="6">
        <v>7.2117570000000004</v>
      </c>
      <c r="AE25">
        <v>1887.2762567793561</v>
      </c>
      <c r="AF25">
        <v>4010635594.621624</v>
      </c>
      <c r="AG25">
        <v>41727127</v>
      </c>
    </row>
    <row r="26" spans="1:33">
      <c r="A26">
        <v>2018</v>
      </c>
      <c r="B26" s="2">
        <v>4</v>
      </c>
      <c r="C26" s="11">
        <v>500000000000</v>
      </c>
      <c r="D26">
        <v>583800</v>
      </c>
      <c r="E26">
        <v>43078000000</v>
      </c>
      <c r="F26" s="3">
        <v>230503000000</v>
      </c>
      <c r="G26" s="11">
        <v>260000000000</v>
      </c>
      <c r="H26" s="11">
        <v>538000000000</v>
      </c>
      <c r="I26">
        <v>40100</v>
      </c>
      <c r="J26">
        <v>583800</v>
      </c>
      <c r="K26">
        <v>29400</v>
      </c>
      <c r="L26">
        <v>3.2</v>
      </c>
      <c r="M26" s="4">
        <v>26581394423.66</v>
      </c>
      <c r="N26" s="5">
        <v>1399408</v>
      </c>
      <c r="O26">
        <v>64037303285</v>
      </c>
      <c r="P26" s="11">
        <v>126547000000</v>
      </c>
      <c r="Q26" s="5">
        <v>286800000000</v>
      </c>
      <c r="R26" s="5">
        <v>268954</v>
      </c>
      <c r="S26">
        <v>14382000000</v>
      </c>
      <c r="T26">
        <v>86445000000</v>
      </c>
      <c r="U26" s="11">
        <v>334550000000</v>
      </c>
      <c r="V26" s="2">
        <v>3.2</v>
      </c>
      <c r="W26">
        <v>30050734495.430023</v>
      </c>
      <c r="X26">
        <v>-14609200000</v>
      </c>
      <c r="Y26">
        <v>90242000000</v>
      </c>
      <c r="Z26" s="6">
        <v>0.91335543200000002</v>
      </c>
      <c r="AA26" s="6">
        <v>0.87218314799999996</v>
      </c>
      <c r="AB26" s="7">
        <v>34.1547718851496</v>
      </c>
      <c r="AC26" s="6">
        <v>0.03</v>
      </c>
      <c r="AD26" s="6">
        <v>7.4516249999999999</v>
      </c>
      <c r="AE26">
        <v>2132.7660403597833</v>
      </c>
    </row>
    <row r="27" spans="1:33">
      <c r="A27">
        <v>2019</v>
      </c>
      <c r="B27" s="2">
        <v>2.9</v>
      </c>
      <c r="C27" s="11">
        <v>512000000000</v>
      </c>
      <c r="D27">
        <v>591000</v>
      </c>
      <c r="E27">
        <v>43874000000</v>
      </c>
      <c r="F27" s="3">
        <v>228744000000</v>
      </c>
      <c r="G27" s="11">
        <v>267000000000</v>
      </c>
      <c r="H27" s="11">
        <v>572000000000</v>
      </c>
      <c r="I27">
        <v>39700</v>
      </c>
      <c r="J27">
        <v>591000</v>
      </c>
      <c r="K27">
        <v>30900</v>
      </c>
      <c r="L27">
        <v>0.5</v>
      </c>
      <c r="M27" s="4">
        <v>28274755204.700001</v>
      </c>
      <c r="N27" s="5">
        <v>1383488</v>
      </c>
      <c r="O27">
        <v>63107000000</v>
      </c>
      <c r="P27" s="11">
        <v>165279000000</v>
      </c>
      <c r="Q27" s="5">
        <v>381796200000</v>
      </c>
      <c r="R27" s="5">
        <v>281274</v>
      </c>
      <c r="S27">
        <v>15479000000</v>
      </c>
      <c r="T27">
        <v>84987000000</v>
      </c>
      <c r="U27" s="11">
        <v>345252000000</v>
      </c>
      <c r="V27" s="2">
        <v>0.5</v>
      </c>
      <c r="W27">
        <v>31886538998.533455</v>
      </c>
      <c r="X27">
        <v>-15590200000</v>
      </c>
      <c r="Y27">
        <v>94655654800</v>
      </c>
      <c r="Z27" s="6">
        <v>0.89614458100000005</v>
      </c>
      <c r="AA27" s="6">
        <v>0.85574812899999997</v>
      </c>
      <c r="AB27" s="7">
        <v>35.584477946760842</v>
      </c>
      <c r="AC27" s="6">
        <v>0.03</v>
      </c>
      <c r="AD27" s="6">
        <v>7.7321059999999999</v>
      </c>
      <c r="AE27">
        <v>2200.7277321338956</v>
      </c>
    </row>
    <row r="28" spans="1:33">
      <c r="A28">
        <v>2020</v>
      </c>
      <c r="B28" s="2">
        <v>-14.5</v>
      </c>
      <c r="C28" s="11">
        <v>449000000000</v>
      </c>
      <c r="D28">
        <v>570100</v>
      </c>
      <c r="E28">
        <v>44135000000</v>
      </c>
      <c r="F28" s="3">
        <v>176631000000</v>
      </c>
      <c r="G28" s="11">
        <v>209000000000</v>
      </c>
      <c r="H28" s="11">
        <v>644000000000</v>
      </c>
      <c r="I28">
        <v>52200</v>
      </c>
      <c r="J28">
        <v>570100</v>
      </c>
      <c r="K28">
        <v>31800</v>
      </c>
      <c r="L28">
        <v>2.5</v>
      </c>
      <c r="M28" s="4">
        <v>19378384423.009998</v>
      </c>
      <c r="N28" s="5">
        <v>308980</v>
      </c>
      <c r="O28">
        <v>17664000000</v>
      </c>
      <c r="P28" s="11">
        <v>180100000000</v>
      </c>
      <c r="Q28" s="5">
        <v>419300000000</v>
      </c>
      <c r="R28" s="5">
        <v>292870</v>
      </c>
      <c r="S28">
        <v>15575000000</v>
      </c>
      <c r="T28">
        <v>73227000000</v>
      </c>
      <c r="U28" s="11">
        <v>305447000000</v>
      </c>
      <c r="V28" s="2">
        <v>2.5</v>
      </c>
      <c r="W28">
        <v>35797448663.569847</v>
      </c>
      <c r="X28">
        <v>-54394300000</v>
      </c>
      <c r="Y28">
        <v>70256210000</v>
      </c>
      <c r="Z28" s="6">
        <v>0.94037125499999996</v>
      </c>
      <c r="AA28" s="6">
        <v>0.89798115099999998</v>
      </c>
      <c r="AB28" s="7">
        <v>39.133586951155891</v>
      </c>
      <c r="AC28" s="6">
        <v>0.03</v>
      </c>
      <c r="AD28" s="6">
        <v>8.0816920000000003</v>
      </c>
      <c r="AE28">
        <v>2545.7822774291931</v>
      </c>
    </row>
    <row r="29" spans="1:33">
      <c r="A29">
        <v>2021</v>
      </c>
      <c r="B29" s="2">
        <v>3.4</v>
      </c>
      <c r="C29" s="11">
        <v>479000000000</v>
      </c>
      <c r="D29">
        <v>532800</v>
      </c>
      <c r="E29">
        <v>46279000000</v>
      </c>
      <c r="F29" s="3">
        <v>211676000000</v>
      </c>
      <c r="G29" s="11">
        <v>258000000000</v>
      </c>
      <c r="H29" s="11">
        <v>765000000000</v>
      </c>
      <c r="I29">
        <v>48400</v>
      </c>
      <c r="J29">
        <v>532800</v>
      </c>
      <c r="K29">
        <v>30000</v>
      </c>
      <c r="L29">
        <v>4</v>
      </c>
      <c r="M29" s="4">
        <v>19934444067.790001</v>
      </c>
      <c r="N29" s="5">
        <v>179780</v>
      </c>
      <c r="O29">
        <v>15523000000</v>
      </c>
      <c r="P29" s="11">
        <v>161619000000</v>
      </c>
      <c r="Q29" s="5">
        <v>449200000000</v>
      </c>
      <c r="R29" s="5">
        <v>307366</v>
      </c>
      <c r="S29">
        <v>17364000000</v>
      </c>
      <c r="T29">
        <v>85672000000</v>
      </c>
      <c r="U29" s="11">
        <v>320448000000</v>
      </c>
      <c r="V29" s="2">
        <v>4</v>
      </c>
      <c r="W29">
        <v>38703365703.723038</v>
      </c>
      <c r="X29">
        <v>-85821700000</v>
      </c>
      <c r="Y29">
        <v>80079650000</v>
      </c>
      <c r="Z29" s="6">
        <v>1.123803026</v>
      </c>
      <c r="AA29" s="6">
        <v>1.0731441749999999</v>
      </c>
      <c r="AB29" s="7">
        <v>41.397073260803523</v>
      </c>
      <c r="AC29" s="6">
        <v>0.03</v>
      </c>
      <c r="AD29" s="6">
        <v>8.4425950000000007</v>
      </c>
      <c r="AE29">
        <v>2746.8388207631592</v>
      </c>
    </row>
    <row r="30" spans="1:33">
      <c r="A30">
        <v>2022</v>
      </c>
      <c r="B30" s="2">
        <v>8.9</v>
      </c>
      <c r="C30" s="11">
        <v>571000000000</v>
      </c>
      <c r="D30">
        <v>562800</v>
      </c>
      <c r="E30">
        <v>79169000000</v>
      </c>
      <c r="F30" s="3">
        <v>316181000000</v>
      </c>
      <c r="G30" s="11">
        <v>359000000000</v>
      </c>
      <c r="H30" s="11">
        <v>784000000000</v>
      </c>
      <c r="I30">
        <v>43200</v>
      </c>
      <c r="J30">
        <v>562800</v>
      </c>
      <c r="K30">
        <v>28300</v>
      </c>
      <c r="L30">
        <v>10.8</v>
      </c>
      <c r="M30" s="4">
        <v>28169549109.34</v>
      </c>
      <c r="N30" s="5">
        <v>997290</v>
      </c>
      <c r="O30">
        <v>64845000000</v>
      </c>
      <c r="P30" s="11">
        <v>177468000000</v>
      </c>
      <c r="Q30" s="5">
        <v>495500000000</v>
      </c>
      <c r="R30" s="5">
        <v>318666</v>
      </c>
      <c r="S30">
        <v>22216000000</v>
      </c>
      <c r="T30" s="11">
        <v>101364000000</v>
      </c>
      <c r="U30" s="11">
        <v>376661000000</v>
      </c>
      <c r="V30" s="2">
        <v>10.8</v>
      </c>
      <c r="W30">
        <v>41852451846.047012</v>
      </c>
      <c r="X30">
        <v>-28755800000</v>
      </c>
      <c r="Y30">
        <v>86361220000</v>
      </c>
      <c r="Z30" s="6">
        <v>1.2315089159999999</v>
      </c>
      <c r="AA30" s="6">
        <v>1.1759948929999999</v>
      </c>
      <c r="AB30" s="7">
        <v>43.814463522588525</v>
      </c>
      <c r="AC30" s="6">
        <v>0.03</v>
      </c>
      <c r="AD30" s="6">
        <v>8.8280729999999998</v>
      </c>
      <c r="AE30">
        <v>2965.3298110748901</v>
      </c>
    </row>
    <row r="31" spans="1:33">
      <c r="A31">
        <v>2023</v>
      </c>
      <c r="B31" s="2">
        <v>7</v>
      </c>
      <c r="C31" s="11">
        <v>663000000000</v>
      </c>
      <c r="D31">
        <v>592800</v>
      </c>
      <c r="E31" s="4">
        <v>118000000000</v>
      </c>
      <c r="F31" s="3">
        <v>347837000000</v>
      </c>
      <c r="G31" s="11">
        <v>360000000000</v>
      </c>
      <c r="H31" s="11">
        <v>826000000000</v>
      </c>
      <c r="I31">
        <v>37600</v>
      </c>
      <c r="J31">
        <v>592800</v>
      </c>
      <c r="K31">
        <v>26700</v>
      </c>
      <c r="L31">
        <v>7</v>
      </c>
      <c r="M31" s="4">
        <v>36603000000</v>
      </c>
      <c r="N31" s="5">
        <v>1295410</v>
      </c>
      <c r="O31" s="8">
        <v>85993000000</v>
      </c>
      <c r="P31" s="11">
        <v>202128000000</v>
      </c>
      <c r="Q31" s="5">
        <v>516500000000</v>
      </c>
      <c r="R31" s="5">
        <v>331924</v>
      </c>
      <c r="S31">
        <v>27524000000</v>
      </c>
      <c r="T31" s="11">
        <v>121069000000</v>
      </c>
      <c r="U31" s="11">
        <v>430237000000</v>
      </c>
      <c r="V31" s="2">
        <v>7</v>
      </c>
      <c r="W31">
        <v>43901532220.529488</v>
      </c>
      <c r="AB31" s="9">
        <v>44.981078094804801</v>
      </c>
      <c r="AC31" s="6">
        <v>0.03</v>
      </c>
      <c r="AD31" s="6">
        <v>9.2713210000000004</v>
      </c>
      <c r="AE31">
        <v>3105.1121921230797</v>
      </c>
    </row>
    <row r="32" spans="1:33">
      <c r="B32" s="2"/>
      <c r="O32" s="5"/>
      <c r="AB32" s="10"/>
      <c r="AC32" s="6">
        <v>0.03</v>
      </c>
      <c r="AD32" s="6">
        <v>9.7428469999999905</v>
      </c>
      <c r="AE32">
        <v>3104.4126129000001</v>
      </c>
    </row>
    <row r="40" spans="1:33">
      <c r="A40">
        <f t="shared" ref="A40:B40" si="0">MAX(A3:A38)</f>
        <v>2023</v>
      </c>
      <c r="B40">
        <f t="shared" si="0"/>
        <v>8.9</v>
      </c>
      <c r="C40">
        <f>MAX(C3:C38)</f>
        <v>663000000000</v>
      </c>
      <c r="D40">
        <f t="shared" ref="D40:AG40" si="1">MAX(D3:D38)</f>
        <v>592800</v>
      </c>
      <c r="E40">
        <f t="shared" si="1"/>
        <v>118000000000</v>
      </c>
      <c r="F40">
        <f t="shared" si="1"/>
        <v>347837000000</v>
      </c>
      <c r="G40">
        <f t="shared" si="1"/>
        <v>360000000000</v>
      </c>
      <c r="H40">
        <f t="shared" si="1"/>
        <v>826000000000</v>
      </c>
      <c r="I40">
        <f t="shared" si="1"/>
        <v>52200</v>
      </c>
      <c r="J40">
        <f t="shared" si="1"/>
        <v>592800</v>
      </c>
      <c r="K40">
        <f t="shared" si="1"/>
        <v>31800</v>
      </c>
      <c r="L40">
        <f t="shared" si="1"/>
        <v>10.8</v>
      </c>
      <c r="M40">
        <f t="shared" si="1"/>
        <v>36603000000</v>
      </c>
      <c r="N40">
        <f t="shared" si="1"/>
        <v>1399408</v>
      </c>
      <c r="O40">
        <f t="shared" si="1"/>
        <v>85993000000</v>
      </c>
      <c r="P40">
        <f t="shared" si="1"/>
        <v>202128000000</v>
      </c>
      <c r="Q40">
        <f t="shared" si="1"/>
        <v>516500000000</v>
      </c>
      <c r="R40">
        <f t="shared" si="1"/>
        <v>331924</v>
      </c>
      <c r="S40">
        <f t="shared" si="1"/>
        <v>27524000000</v>
      </c>
      <c r="T40">
        <f t="shared" si="1"/>
        <v>121069000000</v>
      </c>
      <c r="U40">
        <f t="shared" si="1"/>
        <v>430237000000</v>
      </c>
      <c r="V40">
        <f t="shared" si="1"/>
        <v>10.8</v>
      </c>
      <c r="W40">
        <f t="shared" si="1"/>
        <v>43901532220.529488</v>
      </c>
      <c r="X40">
        <f t="shared" si="1"/>
        <v>-1623100000</v>
      </c>
      <c r="Y40">
        <f t="shared" si="1"/>
        <v>94655654800</v>
      </c>
      <c r="Z40">
        <f t="shared" si="1"/>
        <v>1.2315089159999999</v>
      </c>
      <c r="AA40">
        <f t="shared" si="1"/>
        <v>1.1759948929999999</v>
      </c>
      <c r="AB40">
        <f t="shared" si="1"/>
        <v>44.981078094804801</v>
      </c>
      <c r="AC40">
        <f t="shared" si="1"/>
        <v>0.03</v>
      </c>
      <c r="AD40">
        <f t="shared" si="1"/>
        <v>9.7428469999999905</v>
      </c>
      <c r="AE40">
        <f t="shared" si="1"/>
        <v>3342.3874001312224</v>
      </c>
      <c r="AF40">
        <f t="shared" si="1"/>
        <v>4287566107.0999999</v>
      </c>
      <c r="AG40">
        <f t="shared" si="1"/>
        <v>1291075964.3800001</v>
      </c>
    </row>
    <row r="41" spans="1:33">
      <c r="C41">
        <f>MIN(C3:C38)</f>
        <v>70246000000</v>
      </c>
      <c r="D41">
        <f t="shared" ref="D41:AG41" si="2">MIN(D3:D38)</f>
        <v>475000</v>
      </c>
      <c r="E41">
        <f t="shared" si="2"/>
        <v>16108000000</v>
      </c>
      <c r="F41">
        <f t="shared" si="2"/>
        <v>41205000000</v>
      </c>
      <c r="G41">
        <f t="shared" si="2"/>
        <v>42908000000</v>
      </c>
      <c r="H41">
        <f t="shared" si="2"/>
        <v>8134000000</v>
      </c>
      <c r="I41">
        <f t="shared" si="2"/>
        <v>24300</v>
      </c>
      <c r="J41">
        <f t="shared" si="2"/>
        <v>475000</v>
      </c>
      <c r="K41">
        <f t="shared" si="2"/>
        <v>8200</v>
      </c>
      <c r="L41">
        <f t="shared" si="2"/>
        <v>0.5</v>
      </c>
      <c r="M41">
        <f t="shared" si="2"/>
        <v>359300000</v>
      </c>
      <c r="N41">
        <f t="shared" si="2"/>
        <v>179780</v>
      </c>
      <c r="O41">
        <f t="shared" si="2"/>
        <v>7472000000</v>
      </c>
      <c r="P41">
        <f t="shared" si="2"/>
        <v>15559900000</v>
      </c>
      <c r="Q41">
        <f t="shared" si="2"/>
        <v>21605000000</v>
      </c>
      <c r="R41">
        <f t="shared" si="2"/>
        <v>129316</v>
      </c>
      <c r="S41">
        <f t="shared" si="2"/>
        <v>5888360383.5586605</v>
      </c>
      <c r="T41">
        <f t="shared" si="2"/>
        <v>19815172646.606354</v>
      </c>
      <c r="U41">
        <f t="shared" si="2"/>
        <v>37910198671.198807</v>
      </c>
      <c r="V41">
        <f t="shared" si="2"/>
        <v>0.5</v>
      </c>
      <c r="W41">
        <f t="shared" si="2"/>
        <v>13291438000.000002</v>
      </c>
      <c r="X41">
        <f t="shared" si="2"/>
        <v>-85821700000</v>
      </c>
      <c r="Y41">
        <f t="shared" si="2"/>
        <v>16499128200</v>
      </c>
      <c r="Z41">
        <f t="shared" si="2"/>
        <v>0.37675438900000002</v>
      </c>
      <c r="AA41">
        <f t="shared" si="2"/>
        <v>0.64644716700000004</v>
      </c>
      <c r="AB41">
        <f t="shared" si="2"/>
        <v>17.8</v>
      </c>
      <c r="AC41">
        <f t="shared" si="2"/>
        <v>0.03</v>
      </c>
      <c r="AD41">
        <f t="shared" si="2"/>
        <v>2.6428236961364702</v>
      </c>
      <c r="AE41">
        <f t="shared" si="2"/>
        <v>303.38935623168783</v>
      </c>
      <c r="AF41">
        <f t="shared" si="2"/>
        <v>825276530</v>
      </c>
      <c r="AG41">
        <f t="shared" si="2"/>
        <v>292124.03999999998</v>
      </c>
    </row>
    <row r="43" spans="1:33">
      <c r="A43">
        <f t="shared" ref="A43:B43" si="3">A40-A41</f>
        <v>2023</v>
      </c>
      <c r="B43">
        <f t="shared" si="3"/>
        <v>8.9</v>
      </c>
      <c r="C43">
        <f>C40-C41</f>
        <v>592754000000</v>
      </c>
      <c r="D43">
        <f t="shared" ref="D43:AG43" si="4">D40-D41</f>
        <v>117800</v>
      </c>
      <c r="E43">
        <f t="shared" si="4"/>
        <v>101892000000</v>
      </c>
      <c r="F43">
        <f t="shared" si="4"/>
        <v>306632000000</v>
      </c>
      <c r="G43">
        <f t="shared" si="4"/>
        <v>317092000000</v>
      </c>
      <c r="H43">
        <f t="shared" si="4"/>
        <v>817866000000</v>
      </c>
      <c r="I43">
        <f t="shared" si="4"/>
        <v>27900</v>
      </c>
      <c r="J43">
        <f t="shared" si="4"/>
        <v>117800</v>
      </c>
      <c r="K43">
        <f t="shared" si="4"/>
        <v>23600</v>
      </c>
      <c r="L43">
        <f t="shared" si="4"/>
        <v>10.3</v>
      </c>
      <c r="M43">
        <f t="shared" si="4"/>
        <v>36243700000</v>
      </c>
      <c r="N43">
        <f t="shared" si="4"/>
        <v>1219628</v>
      </c>
      <c r="O43">
        <f t="shared" si="4"/>
        <v>78521000000</v>
      </c>
      <c r="P43">
        <f t="shared" si="4"/>
        <v>186568100000</v>
      </c>
      <c r="Q43">
        <f t="shared" si="4"/>
        <v>494895000000</v>
      </c>
      <c r="R43">
        <f t="shared" si="4"/>
        <v>202608</v>
      </c>
      <c r="S43">
        <f t="shared" si="4"/>
        <v>21635639616.441338</v>
      </c>
      <c r="T43">
        <f t="shared" si="4"/>
        <v>101253827353.39365</v>
      </c>
      <c r="U43">
        <f t="shared" si="4"/>
        <v>392326801328.80121</v>
      </c>
      <c r="V43">
        <f t="shared" si="4"/>
        <v>10.3</v>
      </c>
      <c r="W43">
        <f t="shared" si="4"/>
        <v>30610094220.529488</v>
      </c>
      <c r="X43">
        <f t="shared" si="4"/>
        <v>84198600000</v>
      </c>
      <c r="Y43">
        <f t="shared" si="4"/>
        <v>78156526600</v>
      </c>
      <c r="Z43">
        <f t="shared" si="4"/>
        <v>0.85475452699999988</v>
      </c>
      <c r="AA43">
        <f t="shared" si="4"/>
        <v>0.52954772599999989</v>
      </c>
      <c r="AB43">
        <f t="shared" si="4"/>
        <v>27.1810780948048</v>
      </c>
      <c r="AC43">
        <f>AC40-AC41</f>
        <v>0</v>
      </c>
      <c r="AD43">
        <f t="shared" si="4"/>
        <v>7.1000233038635203</v>
      </c>
      <c r="AE43">
        <f t="shared" si="4"/>
        <v>3038.9980438995344</v>
      </c>
      <c r="AF43">
        <f t="shared" si="4"/>
        <v>3462289577.0999999</v>
      </c>
      <c r="AG43">
        <f t="shared" si="4"/>
        <v>1290783840.3400002</v>
      </c>
    </row>
    <row r="50" spans="1:33">
      <c r="A50">
        <f t="shared" ref="A50:B50" si="5">((A3-A$41)/A$43) * 2 - 1</f>
        <v>0.97231833910034604</v>
      </c>
      <c r="B50">
        <f t="shared" si="5"/>
        <v>-3.3707865168539408E-2</v>
      </c>
      <c r="C50">
        <f>((C3-C$41)/C$43) * 2 - 1</f>
        <v>-1</v>
      </c>
      <c r="D50">
        <f t="shared" ref="D50:AG58" si="6">((D3-D$41)/D$43) * 2 - 1</f>
        <v>-1</v>
      </c>
      <c r="E50">
        <f t="shared" si="6"/>
        <v>-1</v>
      </c>
      <c r="F50">
        <f t="shared" si="6"/>
        <v>-1</v>
      </c>
      <c r="G50">
        <f t="shared" si="6"/>
        <v>-1</v>
      </c>
      <c r="H50">
        <f t="shared" si="6"/>
        <v>-1</v>
      </c>
      <c r="I50">
        <f t="shared" si="6"/>
        <v>-1</v>
      </c>
      <c r="J50">
        <f t="shared" si="6"/>
        <v>-1</v>
      </c>
      <c r="K50">
        <f t="shared" si="6"/>
        <v>-0.86440677966101698</v>
      </c>
      <c r="L50">
        <f t="shared" si="6"/>
        <v>6.7961165048543659E-2</v>
      </c>
      <c r="M50">
        <f t="shared" si="6"/>
        <v>-0.9908563419297699</v>
      </c>
      <c r="N50">
        <f t="shared" si="6"/>
        <v>-0.60203767050280899</v>
      </c>
      <c r="O50">
        <f t="shared" si="6"/>
        <v>-1</v>
      </c>
      <c r="P50">
        <f t="shared" si="6"/>
        <v>-1</v>
      </c>
      <c r="Q50">
        <f t="shared" si="6"/>
        <v>-1</v>
      </c>
      <c r="R50">
        <f t="shared" si="6"/>
        <v>-1</v>
      </c>
      <c r="S50">
        <f t="shared" si="6"/>
        <v>-0.93501663781594901</v>
      </c>
      <c r="T50">
        <f t="shared" si="6"/>
        <v>-1</v>
      </c>
      <c r="U50">
        <f t="shared" si="6"/>
        <v>-1</v>
      </c>
      <c r="V50">
        <f t="shared" si="6"/>
        <v>6.7961165048543659E-2</v>
      </c>
      <c r="W50">
        <f t="shared" si="6"/>
        <v>-1</v>
      </c>
      <c r="X50">
        <f t="shared" si="6"/>
        <v>0.98092129797882621</v>
      </c>
      <c r="Y50">
        <f t="shared" si="6"/>
        <v>-1</v>
      </c>
      <c r="Z50">
        <f t="shared" si="6"/>
        <v>-1</v>
      </c>
      <c r="AA50">
        <f t="shared" si="6"/>
        <v>-0.62768566019675442</v>
      </c>
      <c r="AB50">
        <f t="shared" si="6"/>
        <v>-1</v>
      </c>
      <c r="AC50">
        <v>0</v>
      </c>
      <c r="AD50">
        <f t="shared" si="6"/>
        <v>-1</v>
      </c>
      <c r="AE50">
        <f t="shared" si="6"/>
        <v>-1</v>
      </c>
      <c r="AF50">
        <f t="shared" si="6"/>
        <v>-1</v>
      </c>
      <c r="AG50">
        <f t="shared" si="6"/>
        <v>-0.954173154271579</v>
      </c>
    </row>
    <row r="51" spans="1:33">
      <c r="A51">
        <f t="shared" ref="A51:B51" si="7">((A4-A$41)/A$43) * 2 - 1</f>
        <v>0.97330696984676224</v>
      </c>
      <c r="B51">
        <f t="shared" si="7"/>
        <v>0.2584269662921348</v>
      </c>
      <c r="C51">
        <f t="shared" ref="C51:R78" si="8">((C4-C$41)/C$43) * 2 - 1</f>
        <v>-0.96923175550059548</v>
      </c>
      <c r="D51">
        <f t="shared" si="8"/>
        <v>-0.87606112054329377</v>
      </c>
      <c r="E51">
        <f t="shared" si="8"/>
        <v>-0.95483453067954305</v>
      </c>
      <c r="F51">
        <f t="shared" si="8"/>
        <v>-0.93960186803725643</v>
      </c>
      <c r="G51">
        <f t="shared" si="8"/>
        <v>-0.94921978479431834</v>
      </c>
      <c r="H51">
        <f t="shared" si="8"/>
        <v>-0.99585017594569281</v>
      </c>
      <c r="I51">
        <f t="shared" si="8"/>
        <v>-0.74193548387096775</v>
      </c>
      <c r="J51">
        <f t="shared" si="8"/>
        <v>-0.87606112054329377</v>
      </c>
      <c r="K51">
        <f t="shared" si="8"/>
        <v>-1</v>
      </c>
      <c r="L51">
        <f t="shared" si="8"/>
        <v>0.18446601941747565</v>
      </c>
      <c r="M51">
        <f t="shared" si="8"/>
        <v>-0.98119949122192274</v>
      </c>
      <c r="N51">
        <f t="shared" si="8"/>
        <v>-0.49642513946875599</v>
      </c>
      <c r="O51">
        <f t="shared" si="8"/>
        <v>-0.95985787241629628</v>
      </c>
      <c r="P51">
        <f t="shared" si="8"/>
        <v>-0.98233138462577474</v>
      </c>
      <c r="Q51">
        <f t="shared" si="8"/>
        <v>-0.9765808908960486</v>
      </c>
      <c r="R51">
        <f t="shared" si="8"/>
        <v>-0.97989220563847435</v>
      </c>
      <c r="S51">
        <f t="shared" si="6"/>
        <v>-0.86645881815405312</v>
      </c>
      <c r="T51">
        <f t="shared" si="6"/>
        <v>-0.95003910832323979</v>
      </c>
      <c r="U51">
        <f t="shared" si="6"/>
        <v>-0.97371188514231388</v>
      </c>
      <c r="V51">
        <f t="shared" si="6"/>
        <v>0.18446601941747565</v>
      </c>
      <c r="W51">
        <f t="shared" si="6"/>
        <v>-0.92320782866380424</v>
      </c>
      <c r="X51">
        <f t="shared" si="6"/>
        <v>0.92205333580368309</v>
      </c>
      <c r="Y51">
        <f t="shared" si="6"/>
        <v>-0.91786186414277016</v>
      </c>
      <c r="Z51">
        <f t="shared" si="6"/>
        <v>-0.94310303313550048</v>
      </c>
      <c r="AA51">
        <f t="shared" si="6"/>
        <v>-0.42084236237471828</v>
      </c>
      <c r="AB51">
        <f t="shared" si="6"/>
        <v>-0.859461056449776</v>
      </c>
      <c r="AC51">
        <v>0</v>
      </c>
      <c r="AD51">
        <f t="shared" si="6"/>
        <v>-0.95627864945765162</v>
      </c>
      <c r="AE51">
        <f t="shared" si="6"/>
        <v>-0.93198367647799063</v>
      </c>
      <c r="AF51">
        <f t="shared" si="6"/>
        <v>-0.83900002129027573</v>
      </c>
      <c r="AG51">
        <f t="shared" si="6"/>
        <v>-1</v>
      </c>
    </row>
    <row r="52" spans="1:33">
      <c r="A52">
        <f t="shared" ref="A52:B52" si="9">((A5-A$41)/A$43) * 2 - 1</f>
        <v>0.97429560059317843</v>
      </c>
      <c r="B52">
        <f t="shared" si="9"/>
        <v>0.2808988764044944</v>
      </c>
      <c r="C52">
        <f t="shared" si="8"/>
        <v>-0.93950610202546081</v>
      </c>
      <c r="D52">
        <f t="shared" si="6"/>
        <v>-0.73174872665534807</v>
      </c>
      <c r="E52">
        <f t="shared" si="6"/>
        <v>-0.90843245789659643</v>
      </c>
      <c r="F52">
        <f t="shared" si="6"/>
        <v>-0.91527955334081246</v>
      </c>
      <c r="G52">
        <f t="shared" si="6"/>
        <v>-0.9060588094307015</v>
      </c>
      <c r="H52">
        <f t="shared" si="6"/>
        <v>-0.99393788224476876</v>
      </c>
      <c r="I52">
        <f t="shared" si="6"/>
        <v>-0.43369175627240142</v>
      </c>
      <c r="J52">
        <f t="shared" si="6"/>
        <v>-0.73174872665534807</v>
      </c>
      <c r="K52">
        <f t="shared" si="6"/>
        <v>-0.96610169491525422</v>
      </c>
      <c r="L52">
        <f t="shared" si="6"/>
        <v>0.18446601941747565</v>
      </c>
      <c r="M52">
        <f t="shared" si="6"/>
        <v>-0.98119949122192274</v>
      </c>
      <c r="N52">
        <f t="shared" si="6"/>
        <v>-0.4156496899054466</v>
      </c>
      <c r="O52">
        <f t="shared" si="6"/>
        <v>-0.93387756141669109</v>
      </c>
      <c r="P52">
        <f t="shared" si="6"/>
        <v>-0.94865038556966597</v>
      </c>
      <c r="Q52">
        <f t="shared" si="6"/>
        <v>-0.86504207963305346</v>
      </c>
      <c r="R52">
        <f t="shared" si="6"/>
        <v>-0.97183724235963043</v>
      </c>
      <c r="S52">
        <f t="shared" si="6"/>
        <v>-0.85338394537449269</v>
      </c>
      <c r="T52">
        <f t="shared" si="6"/>
        <v>-0.92012192502186962</v>
      </c>
      <c r="U52">
        <f t="shared" si="6"/>
        <v>-0.94348110613842251</v>
      </c>
      <c r="V52">
        <f t="shared" si="6"/>
        <v>0.18446601941747565</v>
      </c>
      <c r="W52">
        <f t="shared" si="6"/>
        <v>-0.88987773197577269</v>
      </c>
      <c r="X52">
        <f t="shared" si="6"/>
        <v>0.9100056295472847</v>
      </c>
      <c r="Y52">
        <f t="shared" si="6"/>
        <v>-0.84045951704307187</v>
      </c>
      <c r="Z52">
        <f t="shared" si="6"/>
        <v>-0.899162522949703</v>
      </c>
      <c r="AA52">
        <f t="shared" si="6"/>
        <v>-0.77208556646695903</v>
      </c>
      <c r="AB52">
        <f t="shared" si="6"/>
        <v>-0.76086305416846711</v>
      </c>
      <c r="AC52">
        <v>0</v>
      </c>
      <c r="AD52">
        <f t="shared" si="6"/>
        <v>-0.88550915485484638</v>
      </c>
      <c r="AE52">
        <f t="shared" si="6"/>
        <v>-0.93481047138204498</v>
      </c>
      <c r="AF52">
        <f t="shared" si="6"/>
        <v>-0.85840573150134269</v>
      </c>
      <c r="AG52">
        <f t="shared" si="6"/>
        <v>-0.98457784851508801</v>
      </c>
    </row>
    <row r="53" spans="1:33">
      <c r="A53">
        <f t="shared" ref="A53:B53" si="10">((A6-A$41)/A$43) * 2 - 1</f>
        <v>0.97528423133959463</v>
      </c>
      <c r="B53">
        <f t="shared" si="10"/>
        <v>0.37078651685393238</v>
      </c>
      <c r="C53">
        <f t="shared" si="8"/>
        <v>-0.8996075943814803</v>
      </c>
      <c r="D53">
        <f t="shared" si="6"/>
        <v>-0.5857385398981324</v>
      </c>
      <c r="E53">
        <f t="shared" si="6"/>
        <v>-0.86442507753307418</v>
      </c>
      <c r="F53">
        <f t="shared" si="6"/>
        <v>-0.84016019202170678</v>
      </c>
      <c r="G53">
        <f t="shared" si="6"/>
        <v>-0.878350762554716</v>
      </c>
      <c r="H53">
        <f t="shared" si="6"/>
        <v>-0.99154384703606702</v>
      </c>
      <c r="I53">
        <f t="shared" si="6"/>
        <v>-0.27598566308243733</v>
      </c>
      <c r="J53">
        <f t="shared" si="6"/>
        <v>-0.5857385398981324</v>
      </c>
      <c r="K53">
        <f t="shared" si="6"/>
        <v>-0.84745762711864403</v>
      </c>
      <c r="L53">
        <f t="shared" si="6"/>
        <v>0.22330097087378631</v>
      </c>
      <c r="M53">
        <f t="shared" si="6"/>
        <v>-1</v>
      </c>
      <c r="N53">
        <f t="shared" si="6"/>
        <v>-0.3794583266373025</v>
      </c>
      <c r="O53">
        <f t="shared" si="6"/>
        <v>-0.88746959412131787</v>
      </c>
      <c r="P53">
        <f t="shared" si="6"/>
        <v>-0.93232605145252589</v>
      </c>
      <c r="Q53">
        <f t="shared" si="6"/>
        <v>-0.71559623758575053</v>
      </c>
      <c r="R53">
        <f t="shared" si="6"/>
        <v>-0.94637921503593148</v>
      </c>
      <c r="S53">
        <f t="shared" si="6"/>
        <v>-0.77836017294052418</v>
      </c>
      <c r="T53">
        <f t="shared" si="6"/>
        <v>-0.85874618100208178</v>
      </c>
      <c r="U53">
        <f t="shared" si="6"/>
        <v>-0.90737493720004514</v>
      </c>
      <c r="V53">
        <f t="shared" si="6"/>
        <v>0.22330097087378631</v>
      </c>
      <c r="W53">
        <f t="shared" si="6"/>
        <v>-0.83097608381322718</v>
      </c>
      <c r="X53">
        <f t="shared" si="6"/>
        <v>1</v>
      </c>
      <c r="Y53">
        <f t="shared" si="6"/>
        <v>-0.83698368960014657</v>
      </c>
      <c r="Z53">
        <f t="shared" si="6"/>
        <v>-0.83236232219452178</v>
      </c>
      <c r="AA53">
        <f t="shared" si="6"/>
        <v>-0.81876490580945327</v>
      </c>
      <c r="AB53">
        <f t="shared" si="6"/>
        <v>-0.5452718999265006</v>
      </c>
      <c r="AC53">
        <v>0</v>
      </c>
      <c r="AD53">
        <f t="shared" si="6"/>
        <v>-0.81542812584657831</v>
      </c>
      <c r="AE53">
        <f t="shared" si="6"/>
        <v>-0.99797867512115201</v>
      </c>
      <c r="AF53">
        <f t="shared" si="6"/>
        <v>-0.93645833454974303</v>
      </c>
      <c r="AG53">
        <f t="shared" si="6"/>
        <v>-0.79616233198992081</v>
      </c>
    </row>
    <row r="54" spans="1:33">
      <c r="A54">
        <f t="shared" ref="A54:B54" si="11">((A7-A$41)/A$43) * 2 - 1</f>
        <v>0.97627286208601083</v>
      </c>
      <c r="B54">
        <f t="shared" si="11"/>
        <v>-0.4157303370786517</v>
      </c>
      <c r="C54">
        <f t="shared" si="8"/>
        <v>-0.872614946503946</v>
      </c>
      <c r="D54">
        <f t="shared" si="6"/>
        <v>-0.46349745331069614</v>
      </c>
      <c r="E54">
        <f t="shared" si="6"/>
        <v>-0.77264162053939467</v>
      </c>
      <c r="F54">
        <f t="shared" si="6"/>
        <v>-0.81348978580187326</v>
      </c>
      <c r="G54">
        <f t="shared" si="6"/>
        <v>-0.81107691143264415</v>
      </c>
      <c r="H54">
        <f t="shared" si="6"/>
        <v>-0.99053634702995352</v>
      </c>
      <c r="I54">
        <f t="shared" si="6"/>
        <v>5.3763440860215006E-2</v>
      </c>
      <c r="J54">
        <f t="shared" si="6"/>
        <v>-0.46349745331069614</v>
      </c>
      <c r="K54">
        <f t="shared" si="6"/>
        <v>-0.60169491525423724</v>
      </c>
      <c r="L54">
        <f t="shared" si="6"/>
        <v>0.24271844660194164</v>
      </c>
      <c r="M54">
        <f t="shared" si="6"/>
        <v>-0.95360848919950225</v>
      </c>
      <c r="N54">
        <f t="shared" si="6"/>
        <v>-0.34684182390040241</v>
      </c>
      <c r="O54">
        <f t="shared" si="6"/>
        <v>-0.84218234612396681</v>
      </c>
      <c r="P54">
        <f t="shared" si="6"/>
        <v>-0.89027277439176367</v>
      </c>
      <c r="Q54">
        <f t="shared" si="6"/>
        <v>-0.86463795350528905</v>
      </c>
      <c r="R54">
        <f t="shared" si="6"/>
        <v>-0.91325120429598039</v>
      </c>
      <c r="S54">
        <f t="shared" si="6"/>
        <v>-1</v>
      </c>
      <c r="T54">
        <f t="shared" si="6"/>
        <v>-0.81498420626109247</v>
      </c>
      <c r="U54">
        <f t="shared" si="6"/>
        <v>-0.87063228772487256</v>
      </c>
      <c r="V54">
        <f t="shared" si="6"/>
        <v>0.24271844660194164</v>
      </c>
      <c r="W54">
        <f t="shared" si="6"/>
        <v>-0.81013344950430999</v>
      </c>
      <c r="X54">
        <f t="shared" si="6"/>
        <v>0.94922955963638356</v>
      </c>
      <c r="Y54">
        <f t="shared" si="6"/>
        <v>-0.66840601895427632</v>
      </c>
      <c r="Z54">
        <f t="shared" si="6"/>
        <v>-0.79168954316635054</v>
      </c>
      <c r="AA54">
        <f t="shared" si="6"/>
        <v>-0.8503618161132469</v>
      </c>
      <c r="AB54">
        <f t="shared" si="6"/>
        <v>-0.4591825994271489</v>
      </c>
      <c r="AC54">
        <v>0</v>
      </c>
      <c r="AD54">
        <f t="shared" si="6"/>
        <v>-0.75672775513466661</v>
      </c>
      <c r="AE54">
        <f t="shared" si="6"/>
        <v>-0.90402148484212441</v>
      </c>
      <c r="AF54">
        <f t="shared" si="6"/>
        <v>-0.77373653053103786</v>
      </c>
      <c r="AG54">
        <f t="shared" si="6"/>
        <v>-0.99347738090850102</v>
      </c>
    </row>
    <row r="55" spans="1:33">
      <c r="A55">
        <f t="shared" ref="A55:B55" si="12">((A8-A$41)/A$43) * 2 - 1</f>
        <v>0.97726149283242703</v>
      </c>
      <c r="B55">
        <f t="shared" si="12"/>
        <v>0.84269662921348298</v>
      </c>
      <c r="C55">
        <f t="shared" si="8"/>
        <v>-0.83212597468764449</v>
      </c>
      <c r="D55">
        <f t="shared" si="6"/>
        <v>-0.52461799660441422</v>
      </c>
      <c r="E55">
        <f t="shared" si="6"/>
        <v>-0.70990853060102854</v>
      </c>
      <c r="F55">
        <f t="shared" si="6"/>
        <v>-0.79407237339873205</v>
      </c>
      <c r="G55">
        <f t="shared" si="6"/>
        <v>-0.80065722250955562</v>
      </c>
      <c r="H55">
        <f t="shared" si="6"/>
        <v>-0.98736467832138763</v>
      </c>
      <c r="I55">
        <f t="shared" si="6"/>
        <v>-0.39784946236559138</v>
      </c>
      <c r="J55">
        <f t="shared" si="6"/>
        <v>-0.52461799660441422</v>
      </c>
      <c r="K55">
        <f t="shared" si="6"/>
        <v>-0.4576271186440678</v>
      </c>
      <c r="L55">
        <f t="shared" si="6"/>
        <v>-0.28155339805825241</v>
      </c>
      <c r="M55">
        <f t="shared" si="6"/>
        <v>-0.33258520648167822</v>
      </c>
      <c r="N55">
        <f t="shared" si="6"/>
        <v>-0.21833050733502346</v>
      </c>
      <c r="O55">
        <f t="shared" si="6"/>
        <v>-0.82776582060849968</v>
      </c>
      <c r="P55">
        <f t="shared" si="6"/>
        <v>-0.87533452932200095</v>
      </c>
      <c r="Q55">
        <f t="shared" si="6"/>
        <v>-0.80280665595732426</v>
      </c>
      <c r="R55">
        <f t="shared" si="6"/>
        <v>-0.85588920476980179</v>
      </c>
      <c r="S55">
        <f t="shared" si="6"/>
        <v>-0.85187589080980497</v>
      </c>
      <c r="T55">
        <f t="shared" si="6"/>
        <v>-0.75102108072943941</v>
      </c>
      <c r="U55">
        <f t="shared" si="6"/>
        <v>-0.83003953753457105</v>
      </c>
      <c r="V55">
        <f t="shared" si="6"/>
        <v>-0.28155339805825241</v>
      </c>
      <c r="W55">
        <f t="shared" si="6"/>
        <v>-0.7819211547698226</v>
      </c>
      <c r="X55">
        <f t="shared" si="6"/>
        <v>0.94861909817977974</v>
      </c>
      <c r="Y55">
        <f t="shared" si="6"/>
        <v>-0.71605465895921738</v>
      </c>
      <c r="Z55">
        <f t="shared" si="6"/>
        <v>-0.76987442852116073</v>
      </c>
      <c r="AA55">
        <f t="shared" si="6"/>
        <v>-0.88667640506495182</v>
      </c>
      <c r="AB55">
        <f t="shared" si="6"/>
        <v>-0.37750813485084056</v>
      </c>
      <c r="AC55">
        <v>0</v>
      </c>
      <c r="AD55">
        <f t="shared" si="6"/>
        <v>-0.63572292615701875</v>
      </c>
      <c r="AE55">
        <f t="shared" si="6"/>
        <v>-0.70646223898454252</v>
      </c>
      <c r="AF55">
        <f t="shared" si="6"/>
        <v>-0.28999678032159004</v>
      </c>
      <c r="AG55">
        <f t="shared" si="6"/>
        <v>-0.95453309060288416</v>
      </c>
    </row>
    <row r="56" spans="1:33">
      <c r="A56">
        <f t="shared" ref="A56:B56" si="13">((A9-A$41)/A$43) * 2 - 1</f>
        <v>0.97825012357884322</v>
      </c>
      <c r="B56">
        <f t="shared" si="13"/>
        <v>-0.2808988764044944</v>
      </c>
      <c r="C56">
        <f t="shared" si="8"/>
        <v>-0.79163700287134287</v>
      </c>
      <c r="D56">
        <f t="shared" si="6"/>
        <v>-0.47707979626485564</v>
      </c>
      <c r="E56">
        <f t="shared" si="6"/>
        <v>-0.58081105484238216</v>
      </c>
      <c r="F56">
        <f t="shared" si="6"/>
        <v>-0.72190117143677113</v>
      </c>
      <c r="G56">
        <f t="shared" si="6"/>
        <v>-0.74721531921335127</v>
      </c>
      <c r="H56">
        <f t="shared" si="6"/>
        <v>-0.98209975717293541</v>
      </c>
      <c r="I56">
        <f t="shared" si="6"/>
        <v>-0.22580645161290325</v>
      </c>
      <c r="J56">
        <f t="shared" si="6"/>
        <v>-0.47707979626485564</v>
      </c>
      <c r="K56">
        <f t="shared" si="6"/>
        <v>-0.29661016949152541</v>
      </c>
      <c r="L56">
        <f t="shared" si="6"/>
        <v>-4.8543689320388328E-2</v>
      </c>
      <c r="M56">
        <f t="shared" si="6"/>
        <v>-0.94003874816202537</v>
      </c>
      <c r="N56">
        <f t="shared" si="6"/>
        <v>-0.21199250919132717</v>
      </c>
      <c r="O56">
        <f t="shared" si="6"/>
        <v>-0.72761426879433522</v>
      </c>
      <c r="P56">
        <f t="shared" si="6"/>
        <v>-0.82824716551221778</v>
      </c>
      <c r="Q56">
        <f t="shared" si="6"/>
        <v>-0.79674476404085715</v>
      </c>
      <c r="R56">
        <f t="shared" si="6"/>
        <v>-0.82507107320540163</v>
      </c>
      <c r="S56">
        <f t="shared" si="6"/>
        <v>-0.73530635356017626</v>
      </c>
      <c r="T56">
        <f t="shared" si="6"/>
        <v>-0.670481110288077</v>
      </c>
      <c r="U56">
        <f t="shared" si="6"/>
        <v>-0.79566154492180829</v>
      </c>
      <c r="V56">
        <f t="shared" si="6"/>
        <v>-4.8543689320388328E-2</v>
      </c>
      <c r="W56">
        <f t="shared" si="6"/>
        <v>-0.70501174759716889</v>
      </c>
      <c r="X56">
        <f t="shared" si="6"/>
        <v>0.9771255104004104</v>
      </c>
      <c r="Y56">
        <f t="shared" si="6"/>
        <v>-0.65499969135015279</v>
      </c>
      <c r="Z56">
        <f t="shared" si="6"/>
        <v>-0.6730939735637107</v>
      </c>
      <c r="AA56">
        <f t="shared" si="6"/>
        <v>-1</v>
      </c>
      <c r="AB56">
        <f t="shared" si="6"/>
        <v>-0.17074665245496146</v>
      </c>
      <c r="AC56">
        <v>0</v>
      </c>
      <c r="AD56">
        <f t="shared" si="6"/>
        <v>-0.61004949338411363</v>
      </c>
      <c r="AE56">
        <f t="shared" si="6"/>
        <v>-0.73154318508025762</v>
      </c>
      <c r="AF56">
        <f t="shared" si="6"/>
        <v>-0.30728466756126316</v>
      </c>
      <c r="AG56">
        <f t="shared" si="6"/>
        <v>-0.98441314084417075</v>
      </c>
    </row>
    <row r="57" spans="1:33">
      <c r="A57">
        <f t="shared" ref="A57:B57" si="14">((A10-A$41)/A$43) * 2 - 1</f>
        <v>0.97923875432525942</v>
      </c>
      <c r="B57">
        <f t="shared" si="14"/>
        <v>-0.6404494382022472</v>
      </c>
      <c r="C57">
        <f t="shared" si="8"/>
        <v>-0.75789619302442501</v>
      </c>
      <c r="D57">
        <f t="shared" si="6"/>
        <v>-0.4091680814940577</v>
      </c>
      <c r="E57">
        <f t="shared" si="6"/>
        <v>-0.54316334942880695</v>
      </c>
      <c r="F57">
        <f t="shared" si="6"/>
        <v>-0.78670197500587025</v>
      </c>
      <c r="G57">
        <f t="shared" si="6"/>
        <v>-0.74104676245379886</v>
      </c>
      <c r="H57">
        <f t="shared" si="6"/>
        <v>-0.97548498164736031</v>
      </c>
      <c r="I57">
        <f t="shared" si="6"/>
        <v>2.5089605734766929E-2</v>
      </c>
      <c r="J57">
        <f t="shared" si="6"/>
        <v>-0.4091680814940577</v>
      </c>
      <c r="K57">
        <f t="shared" si="6"/>
        <v>-0.25423728813559321</v>
      </c>
      <c r="L57">
        <f t="shared" si="6"/>
        <v>0.14563106796116498</v>
      </c>
      <c r="M57">
        <f t="shared" si="6"/>
        <v>-0.93870514248214176</v>
      </c>
      <c r="N57">
        <f t="shared" si="6"/>
        <v>-0.17701463069066958</v>
      </c>
      <c r="O57">
        <f t="shared" si="6"/>
        <v>-0.72348798410616266</v>
      </c>
      <c r="P57">
        <f t="shared" si="6"/>
        <v>-0.81385027772700691</v>
      </c>
      <c r="Q57">
        <f t="shared" si="6"/>
        <v>-0.77249719637498859</v>
      </c>
      <c r="R57">
        <f t="shared" si="6"/>
        <v>-0.79323619995261785</v>
      </c>
      <c r="S57">
        <f t="shared" si="6"/>
        <v>-0.805678912019134</v>
      </c>
      <c r="T57">
        <f t="shared" si="6"/>
        <v>-0.6327521274643344</v>
      </c>
      <c r="U57">
        <f t="shared" si="6"/>
        <v>-0.7561759328590324</v>
      </c>
      <c r="V57">
        <f t="shared" si="6"/>
        <v>0.14563106796116498</v>
      </c>
      <c r="W57">
        <f t="shared" si="6"/>
        <v>-0.66359839581631053</v>
      </c>
      <c r="X57">
        <f t="shared" si="6"/>
        <v>0.8401636131717154</v>
      </c>
      <c r="Y57">
        <f t="shared" si="6"/>
        <v>-0.62700239035443528</v>
      </c>
      <c r="Z57">
        <f t="shared" si="6"/>
        <v>-0.61179395075610976</v>
      </c>
      <c r="AA57">
        <f t="shared" si="6"/>
        <v>-0.80765858297727833</v>
      </c>
      <c r="AB57">
        <f t="shared" si="6"/>
        <v>-0.10525991959648007</v>
      </c>
      <c r="AC57">
        <v>0</v>
      </c>
      <c r="AD57">
        <f t="shared" si="6"/>
        <v>-0.59552434058007098</v>
      </c>
      <c r="AE57">
        <f t="shared" si="6"/>
        <v>-0.70702868107339334</v>
      </c>
      <c r="AF57">
        <f t="shared" si="6"/>
        <v>-0.2942887575433355</v>
      </c>
      <c r="AG57">
        <f t="shared" si="6"/>
        <v>-0.90501615403884705</v>
      </c>
    </row>
    <row r="58" spans="1:33">
      <c r="A58">
        <f t="shared" ref="A58:B58" si="15">((A11-A$41)/A$43) * 2 - 1</f>
        <v>0.98022738507167584</v>
      </c>
      <c r="B58">
        <f t="shared" si="15"/>
        <v>0.348314606741573</v>
      </c>
      <c r="C58">
        <f t="shared" si="8"/>
        <v>-0.69041457333058909</v>
      </c>
      <c r="D58">
        <f t="shared" si="6"/>
        <v>-0.33616298811544987</v>
      </c>
      <c r="E58">
        <f t="shared" si="6"/>
        <v>-0.55356652141483131</v>
      </c>
      <c r="F58">
        <f t="shared" si="6"/>
        <v>-0.79492681781418773</v>
      </c>
      <c r="G58">
        <f t="shared" si="6"/>
        <v>-0.72382778499615252</v>
      </c>
      <c r="H58">
        <f t="shared" si="6"/>
        <v>-0.96999753015775203</v>
      </c>
      <c r="I58">
        <f t="shared" si="6"/>
        <v>0.27598566308243733</v>
      </c>
      <c r="J58">
        <f t="shared" si="6"/>
        <v>-0.33616298811544987</v>
      </c>
      <c r="K58">
        <f t="shared" si="6"/>
        <v>-0.15254237288135597</v>
      </c>
      <c r="L58">
        <f t="shared" si="6"/>
        <v>-0.33980582524271852</v>
      </c>
      <c r="M58">
        <f t="shared" si="6"/>
        <v>-0.84482461693204614</v>
      </c>
      <c r="N58">
        <f t="shared" si="6"/>
        <v>-0.1436110026991837</v>
      </c>
      <c r="O58">
        <f t="shared" si="6"/>
        <v>-0.69580112326638732</v>
      </c>
      <c r="P58">
        <f t="shared" si="6"/>
        <v>-0.75351949234622639</v>
      </c>
      <c r="Q58">
        <f t="shared" si="6"/>
        <v>-0.79108699825215445</v>
      </c>
      <c r="R58">
        <f t="shared" si="6"/>
        <v>-0.76232922688146565</v>
      </c>
      <c r="S58">
        <f t="shared" si="6"/>
        <v>-0.75940392261944811</v>
      </c>
      <c r="T58">
        <f t="shared" si="6"/>
        <v>-0.58370385999497976</v>
      </c>
      <c r="U58">
        <f t="shared" si="6"/>
        <v>-0.7186403535879321</v>
      </c>
      <c r="V58">
        <f t="shared" si="6"/>
        <v>-0.33980582524271852</v>
      </c>
      <c r="W58">
        <f t="shared" si="6"/>
        <v>-0.59796798038777421</v>
      </c>
      <c r="X58">
        <f t="shared" si="6"/>
        <v>0.8126049601774854</v>
      </c>
      <c r="Y58">
        <f t="shared" si="6"/>
        <v>-0.48797246831590901</v>
      </c>
      <c r="Z58">
        <f t="shared" si="6"/>
        <v>-0.49160752441384847</v>
      </c>
      <c r="AA58">
        <f t="shared" si="6"/>
        <v>-0.51491380401093467</v>
      </c>
      <c r="AB58">
        <f t="shared" si="6"/>
        <v>-0.22151726556996387</v>
      </c>
      <c r="AC58">
        <v>0</v>
      </c>
      <c r="AD58">
        <f t="shared" si="6"/>
        <v>-0.52257922789034594</v>
      </c>
      <c r="AE58">
        <f t="shared" si="6"/>
        <v>-0.66018892802442575</v>
      </c>
      <c r="AF58">
        <f t="shared" si="6"/>
        <v>-0.30891203005493406</v>
      </c>
      <c r="AG58">
        <f t="shared" si="6"/>
        <v>-0.94206446534045396</v>
      </c>
    </row>
    <row r="59" spans="1:33">
      <c r="A59">
        <f t="shared" ref="A59:B59" si="16">((A12-A$41)/A$43) * 2 - 1</f>
        <v>0.98121601581809204</v>
      </c>
      <c r="B59">
        <f t="shared" si="16"/>
        <v>-3.3707865168539408E-2</v>
      </c>
      <c r="C59">
        <f t="shared" si="8"/>
        <v>-0.62630703462144499</v>
      </c>
      <c r="D59">
        <f t="shared" ref="D59:AG67" si="17">((D12-D$41)/D$43) * 2 - 1</f>
        <v>-0.25297113752122236</v>
      </c>
      <c r="E59">
        <f t="shared" si="17"/>
        <v>-0.53623444431358691</v>
      </c>
      <c r="F59">
        <f t="shared" si="17"/>
        <v>-8.8790471966396223E-2</v>
      </c>
      <c r="G59">
        <f t="shared" si="17"/>
        <v>-0.64605224982024145</v>
      </c>
      <c r="H59">
        <f t="shared" si="17"/>
        <v>-0.96213805195472124</v>
      </c>
      <c r="I59">
        <f t="shared" si="17"/>
        <v>0.39068100358422941</v>
      </c>
      <c r="J59">
        <f t="shared" si="17"/>
        <v>-0.25297113752122236</v>
      </c>
      <c r="K59">
        <f t="shared" si="17"/>
        <v>-0.21186440677966101</v>
      </c>
      <c r="L59">
        <f t="shared" si="17"/>
        <v>-0.18446601941747576</v>
      </c>
      <c r="M59">
        <f t="shared" si="17"/>
        <v>-0.85756520127801528</v>
      </c>
      <c r="N59">
        <f t="shared" si="17"/>
        <v>-0.11599110548462321</v>
      </c>
      <c r="O59">
        <f t="shared" si="17"/>
        <v>-0.59307701124539935</v>
      </c>
      <c r="P59">
        <f t="shared" si="17"/>
        <v>-0.71695589974920693</v>
      </c>
      <c r="Q59">
        <f t="shared" si="17"/>
        <v>-0.79149112437991898</v>
      </c>
      <c r="R59">
        <f t="shared" si="17"/>
        <v>-0.74056305772723685</v>
      </c>
      <c r="S59">
        <f t="shared" si="17"/>
        <v>-0.65365550924329408</v>
      </c>
      <c r="T59">
        <f t="shared" si="17"/>
        <v>-0.52091762408316533</v>
      </c>
      <c r="U59">
        <f t="shared" si="17"/>
        <v>-0.66293425761300528</v>
      </c>
      <c r="V59">
        <f t="shared" si="17"/>
        <v>-0.18446601941747576</v>
      </c>
      <c r="W59">
        <f t="shared" si="17"/>
        <v>-0.50492690774416504</v>
      </c>
      <c r="X59">
        <f t="shared" si="17"/>
        <v>0.82980239576430037</v>
      </c>
      <c r="Y59">
        <f t="shared" si="17"/>
        <v>-0.4172839354403961</v>
      </c>
      <c r="Z59">
        <f t="shared" si="17"/>
        <v>-0.40974850198131796</v>
      </c>
      <c r="AA59">
        <f t="shared" si="17"/>
        <v>-0.21371778678924969</v>
      </c>
      <c r="AB59">
        <f t="shared" si="17"/>
        <v>-0.26787304276192248</v>
      </c>
      <c r="AC59">
        <v>0</v>
      </c>
      <c r="AD59">
        <f t="shared" si="17"/>
        <v>-0.41232888553244884</v>
      </c>
      <c r="AE59">
        <f t="shared" si="17"/>
        <v>-0.5022643066023289</v>
      </c>
      <c r="AF59">
        <f t="shared" si="17"/>
        <v>-8.5408522457467217E-2</v>
      </c>
      <c r="AG59">
        <f t="shared" si="17"/>
        <v>-0.91679023197895892</v>
      </c>
    </row>
    <row r="60" spans="1:33">
      <c r="A60">
        <f t="shared" ref="A60:B60" si="18">((A13-A$41)/A$43) * 2 - 1</f>
        <v>0.98220464656450823</v>
      </c>
      <c r="B60">
        <f t="shared" si="18"/>
        <v>-0.66292134831460681</v>
      </c>
      <c r="C60">
        <f t="shared" si="8"/>
        <v>-0.59256622477452703</v>
      </c>
      <c r="D60">
        <f t="shared" si="17"/>
        <v>-8.9983022071307261E-2</v>
      </c>
      <c r="E60">
        <f t="shared" si="17"/>
        <v>-0.70154673575943161</v>
      </c>
      <c r="F60">
        <f t="shared" si="17"/>
        <v>-0.53192099976519081</v>
      </c>
      <c r="G60">
        <f t="shared" si="17"/>
        <v>-0.48852698901265246</v>
      </c>
      <c r="H60">
        <f t="shared" si="17"/>
        <v>-0.95641339779377066</v>
      </c>
      <c r="I60">
        <f t="shared" si="17"/>
        <v>0.87813620071684584</v>
      </c>
      <c r="J60">
        <f t="shared" si="17"/>
        <v>-8.9983022071307261E-2</v>
      </c>
      <c r="K60">
        <f t="shared" si="17"/>
        <v>-0.28813559322033899</v>
      </c>
      <c r="L60">
        <f t="shared" si="17"/>
        <v>-0.14563106796116498</v>
      </c>
      <c r="M60">
        <f t="shared" si="17"/>
        <v>-0.7834870367572847</v>
      </c>
      <c r="N60">
        <f t="shared" si="17"/>
        <v>-4.6786397163725346E-2</v>
      </c>
      <c r="O60">
        <f t="shared" si="17"/>
        <v>-0.53561467632862547</v>
      </c>
      <c r="P60">
        <f t="shared" si="17"/>
        <v>-0.69097396607458617</v>
      </c>
      <c r="Q60">
        <f t="shared" si="17"/>
        <v>-0.56518049283181282</v>
      </c>
      <c r="R60">
        <f t="shared" si="17"/>
        <v>-0.70310155571349608</v>
      </c>
      <c r="S60">
        <f t="shared" si="17"/>
        <v>-0.65547425750906629</v>
      </c>
      <c r="T60">
        <f t="shared" si="17"/>
        <v>-0.50984975316559833</v>
      </c>
      <c r="U60">
        <f t="shared" si="17"/>
        <v>-0.61225973507883902</v>
      </c>
      <c r="V60">
        <f t="shared" si="17"/>
        <v>-0.14563106796116498</v>
      </c>
      <c r="W60">
        <f t="shared" si="17"/>
        <v>-0.37575197703297136</v>
      </c>
      <c r="X60">
        <f t="shared" si="17"/>
        <v>0.82465741710669782</v>
      </c>
      <c r="Y60">
        <f t="shared" si="17"/>
        <v>-0.37018976992255437</v>
      </c>
      <c r="Z60">
        <f t="shared" si="17"/>
        <v>-0.29152223372781272</v>
      </c>
      <c r="AA60">
        <f t="shared" si="17"/>
        <v>-0.33776207736939656</v>
      </c>
      <c r="AB60">
        <f t="shared" si="17"/>
        <v>-0.15897375666017832</v>
      </c>
      <c r="AC60">
        <v>0</v>
      </c>
      <c r="AD60">
        <f t="shared" si="17"/>
        <v>-0.33336041233111402</v>
      </c>
      <c r="AE60">
        <f t="shared" si="17"/>
        <v>-0.15253714912366723</v>
      </c>
      <c r="AF60">
        <f t="shared" si="17"/>
        <v>0.34998478096729446</v>
      </c>
      <c r="AG60">
        <f t="shared" si="17"/>
        <v>-0.70273885680275394</v>
      </c>
    </row>
    <row r="61" spans="1:33">
      <c r="A61">
        <f t="shared" ref="A61:B61" si="19">((A14-A$41)/A$43) * 2 - 1</f>
        <v>0.98319327731092443</v>
      </c>
      <c r="B61">
        <f t="shared" si="19"/>
        <v>1.1235955056179803E-2</v>
      </c>
      <c r="C61">
        <f t="shared" si="8"/>
        <v>-0.48459563326438959</v>
      </c>
      <c r="D61">
        <f t="shared" si="17"/>
        <v>-2.5466893039049254E-2</v>
      </c>
      <c r="E61">
        <f t="shared" si="17"/>
        <v>-0.63793035763357286</v>
      </c>
      <c r="F61">
        <f t="shared" si="17"/>
        <v>-0.41917999426022068</v>
      </c>
      <c r="G61">
        <f t="shared" si="17"/>
        <v>-0.31822940976120495</v>
      </c>
      <c r="H61">
        <f t="shared" si="17"/>
        <v>-0.5357038928137372</v>
      </c>
      <c r="I61">
        <f t="shared" si="17"/>
        <v>0.7060931899641576</v>
      </c>
      <c r="J61">
        <f t="shared" si="17"/>
        <v>-2.5466893039049254E-2</v>
      </c>
      <c r="K61">
        <f t="shared" si="17"/>
        <v>-0.27966101694915257</v>
      </c>
      <c r="L61">
        <f t="shared" si="17"/>
        <v>0.63106796116504849</v>
      </c>
      <c r="M61">
        <f t="shared" si="17"/>
        <v>-0.45427345281138509</v>
      </c>
      <c r="N61">
        <f t="shared" si="17"/>
        <v>-2.1613147615502371E-3</v>
      </c>
      <c r="O61">
        <f t="shared" si="17"/>
        <v>-0.37672724494084386</v>
      </c>
      <c r="P61">
        <f t="shared" si="17"/>
        <v>-0.64286177540533451</v>
      </c>
      <c r="Q61">
        <f t="shared" si="17"/>
        <v>-0.52274724941654283</v>
      </c>
      <c r="R61">
        <f t="shared" si="17"/>
        <v>-0.69090065545289425</v>
      </c>
      <c r="S61">
        <f t="shared" si="17"/>
        <v>-0.45657815339334373</v>
      </c>
      <c r="T61">
        <f t="shared" si="17"/>
        <v>-0.42453874357338672</v>
      </c>
      <c r="U61">
        <f t="shared" si="17"/>
        <v>-0.49058386533703635</v>
      </c>
      <c r="V61">
        <f t="shared" si="17"/>
        <v>0.63106796116504849</v>
      </c>
      <c r="W61">
        <f t="shared" si="17"/>
        <v>-0.21809044991610005</v>
      </c>
      <c r="X61">
        <f t="shared" si="17"/>
        <v>0.79283741059827606</v>
      </c>
      <c r="Y61">
        <f t="shared" si="17"/>
        <v>-9.9349131003987123E-2</v>
      </c>
      <c r="Z61">
        <f t="shared" si="17"/>
        <v>-0.16917594283767967</v>
      </c>
      <c r="AA61">
        <f t="shared" si="17"/>
        <v>-0.29554487030315379</v>
      </c>
      <c r="AB61">
        <f t="shared" si="17"/>
        <v>-1.7699007122780497E-2</v>
      </c>
      <c r="AC61">
        <v>0</v>
      </c>
      <c r="AD61">
        <f t="shared" si="17"/>
        <v>-0.21379078767100601</v>
      </c>
      <c r="AE61">
        <f t="shared" si="17"/>
        <v>0.13539606597084486</v>
      </c>
      <c r="AF61">
        <f t="shared" si="17"/>
        <v>0.48450303059429789</v>
      </c>
      <c r="AG61">
        <f t="shared" si="17"/>
        <v>-0.85707233468974597</v>
      </c>
    </row>
    <row r="62" spans="1:33">
      <c r="A62">
        <f t="shared" ref="A62:B62" si="20">((A15-A$41)/A$43) * 2 - 1</f>
        <v>0.98418190805734063</v>
      </c>
      <c r="B62">
        <f t="shared" si="20"/>
        <v>0.2808988764044944</v>
      </c>
      <c r="C62">
        <f t="shared" si="8"/>
        <v>-0.37662504175425215</v>
      </c>
      <c r="D62">
        <f t="shared" si="17"/>
        <v>-0.10865874363327677</v>
      </c>
      <c r="E62">
        <f t="shared" si="17"/>
        <v>-0.47246103717661836</v>
      </c>
      <c r="F62">
        <f t="shared" si="17"/>
        <v>-0.33878394948994239</v>
      </c>
      <c r="G62">
        <f t="shared" si="17"/>
        <v>-0.23623427901050797</v>
      </c>
      <c r="H62">
        <f t="shared" si="17"/>
        <v>-0.49413229061973474</v>
      </c>
      <c r="I62">
        <f t="shared" si="17"/>
        <v>0.4623655913978495</v>
      </c>
      <c r="J62">
        <f t="shared" si="17"/>
        <v>-0.10865874363327677</v>
      </c>
      <c r="K62">
        <f t="shared" si="17"/>
        <v>0.13559322033898313</v>
      </c>
      <c r="L62">
        <f t="shared" si="17"/>
        <v>0.61165048543689315</v>
      </c>
      <c r="M62">
        <f t="shared" si="17"/>
        <v>-0.10678525478358991</v>
      </c>
      <c r="N62">
        <f t="shared" si="17"/>
        <v>0.19248000209900074</v>
      </c>
      <c r="O62">
        <f t="shared" si="17"/>
        <v>-0.15398428445893453</v>
      </c>
      <c r="P62">
        <f t="shared" si="17"/>
        <v>-0.61758521419256562</v>
      </c>
      <c r="Q62">
        <f t="shared" si="17"/>
        <v>-0.50173269077279015</v>
      </c>
      <c r="R62">
        <f t="shared" si="17"/>
        <v>-0.65926320777067038</v>
      </c>
      <c r="S62">
        <f t="shared" si="17"/>
        <v>-0.43060249425115116</v>
      </c>
      <c r="T62">
        <f t="shared" si="17"/>
        <v>-0.27226795635476164</v>
      </c>
      <c r="U62">
        <f t="shared" si="17"/>
        <v>-0.38802650788982229</v>
      </c>
      <c r="V62">
        <f t="shared" si="17"/>
        <v>0.61165048543689315</v>
      </c>
      <c r="W62">
        <f t="shared" si="17"/>
        <v>-2.8586537964414904E-2</v>
      </c>
      <c r="X62">
        <f t="shared" si="17"/>
        <v>0.8143413310910157</v>
      </c>
      <c r="Y62">
        <f t="shared" si="17"/>
        <v>0.14487871317454371</v>
      </c>
      <c r="Z62">
        <f t="shared" si="17"/>
        <v>-8.9260446818317796E-2</v>
      </c>
      <c r="AA62">
        <f t="shared" si="17"/>
        <v>-4.7774655159221746E-3</v>
      </c>
      <c r="AB62">
        <f t="shared" si="17"/>
        <v>-1.5112754049535493E-3</v>
      </c>
      <c r="AC62">
        <v>0</v>
      </c>
      <c r="AD62">
        <f t="shared" si="17"/>
        <v>-0.10174398945188978</v>
      </c>
      <c r="AE62">
        <f t="shared" si="17"/>
        <v>0.29659547009135467</v>
      </c>
      <c r="AF62">
        <f t="shared" si="17"/>
        <v>0.58593232753731783</v>
      </c>
      <c r="AG62">
        <f t="shared" si="17"/>
        <v>-0.78494679114755428</v>
      </c>
    </row>
    <row r="63" spans="1:33">
      <c r="A63">
        <f t="shared" ref="A63:B63" si="21">((A16-A$41)/A$43) * 2 - 1</f>
        <v>0.98517053880375682</v>
      </c>
      <c r="B63">
        <f t="shared" si="21"/>
        <v>0.21348314606741581</v>
      </c>
      <c r="C63">
        <f t="shared" si="8"/>
        <v>-0.2787766931981901</v>
      </c>
      <c r="D63">
        <f t="shared" si="17"/>
        <v>-3.5653650254668934E-2</v>
      </c>
      <c r="E63">
        <f t="shared" si="17"/>
        <v>-0.55525458328426169</v>
      </c>
      <c r="F63">
        <f t="shared" si="17"/>
        <v>-0.32189073547444491</v>
      </c>
      <c r="G63">
        <f t="shared" si="17"/>
        <v>-0.12900987725959656</v>
      </c>
      <c r="H63">
        <f t="shared" si="17"/>
        <v>-0.40365292113867068</v>
      </c>
      <c r="I63">
        <f t="shared" si="17"/>
        <v>-1.0752688172043001E-2</v>
      </c>
      <c r="J63">
        <f t="shared" si="17"/>
        <v>-3.5653650254668934E-2</v>
      </c>
      <c r="K63">
        <f t="shared" si="17"/>
        <v>0.33898305084745761</v>
      </c>
      <c r="L63">
        <f t="shared" si="17"/>
        <v>0.78640776699029091</v>
      </c>
      <c r="M63">
        <f t="shared" si="17"/>
        <v>-2.324148211578847E-2</v>
      </c>
      <c r="N63">
        <f t="shared" si="17"/>
        <v>0.23099174502389253</v>
      </c>
      <c r="O63">
        <f t="shared" si="17"/>
        <v>-0.14058659466894208</v>
      </c>
      <c r="P63">
        <f t="shared" si="17"/>
        <v>-0.52247249127798367</v>
      </c>
      <c r="Q63">
        <f t="shared" si="17"/>
        <v>-0.5086028349447862</v>
      </c>
      <c r="R63">
        <f t="shared" si="17"/>
        <v>-0.6324232014530522</v>
      </c>
      <c r="S63">
        <f t="shared" si="17"/>
        <v>-0.37763433521742729</v>
      </c>
      <c r="T63">
        <f t="shared" si="17"/>
        <v>-0.10156823613899335</v>
      </c>
      <c r="U63">
        <f t="shared" si="17"/>
        <v>-0.30046175349719895</v>
      </c>
      <c r="V63">
        <f t="shared" si="17"/>
        <v>0.78640776699029091</v>
      </c>
      <c r="W63">
        <f t="shared" si="17"/>
        <v>-7.3812738512060716E-2</v>
      </c>
      <c r="X63">
        <f t="shared" si="17"/>
        <v>0.8408999674578912</v>
      </c>
      <c r="Y63">
        <f t="shared" si="17"/>
        <v>0.30583775968365523</v>
      </c>
      <c r="Z63">
        <f t="shared" si="17"/>
        <v>2.4847894136981186E-3</v>
      </c>
      <c r="AA63">
        <f t="shared" si="17"/>
        <v>0.29628848222076987</v>
      </c>
      <c r="AB63">
        <f t="shared" si="17"/>
        <v>-0.22291529694559431</v>
      </c>
      <c r="AC63">
        <v>0</v>
      </c>
      <c r="AD63">
        <f t="shared" si="17"/>
        <v>-6.8830576354662498E-2</v>
      </c>
      <c r="AE63">
        <f t="shared" si="17"/>
        <v>0.61007947722732458</v>
      </c>
      <c r="AF63">
        <f t="shared" si="17"/>
        <v>0.65919964018539123</v>
      </c>
      <c r="AG63">
        <f t="shared" si="17"/>
        <v>-0.89075934985143745</v>
      </c>
    </row>
    <row r="64" spans="1:33">
      <c r="A64">
        <f t="shared" ref="A64:B64" si="22">((A17-A$41)/A$43) * 2 - 1</f>
        <v>0.98615916955017302</v>
      </c>
      <c r="B64">
        <f t="shared" si="22"/>
        <v>-0.25842696629213491</v>
      </c>
      <c r="C64">
        <f t="shared" si="8"/>
        <v>-0.25178404532065579</v>
      </c>
      <c r="D64">
        <f t="shared" si="17"/>
        <v>0.1069609507640068</v>
      </c>
      <c r="E64">
        <f t="shared" si="17"/>
        <v>-0.65422211753621484</v>
      </c>
      <c r="F64">
        <f t="shared" si="17"/>
        <v>-0.36147564507292129</v>
      </c>
      <c r="G64">
        <f t="shared" si="17"/>
        <v>-0.22992696126045442</v>
      </c>
      <c r="H64">
        <f t="shared" si="17"/>
        <v>-0.32540049347937194</v>
      </c>
      <c r="I64">
        <f t="shared" si="17"/>
        <v>7.5268817204301008E-2</v>
      </c>
      <c r="J64">
        <f t="shared" si="17"/>
        <v>0.1069609507640068</v>
      </c>
      <c r="K64">
        <f t="shared" si="17"/>
        <v>8.4745762711864403E-2</v>
      </c>
      <c r="L64">
        <f t="shared" si="17"/>
        <v>-0.61165048543689315</v>
      </c>
      <c r="M64">
        <f t="shared" si="17"/>
        <v>-0.33662054593101698</v>
      </c>
      <c r="N64">
        <f t="shared" si="17"/>
        <v>0.13407694805301285</v>
      </c>
      <c r="O64">
        <f t="shared" si="17"/>
        <v>-0.28118592478445259</v>
      </c>
      <c r="P64">
        <f t="shared" si="17"/>
        <v>-0.45682997254085778</v>
      </c>
      <c r="Q64">
        <f t="shared" si="17"/>
        <v>-0.38898150112650154</v>
      </c>
      <c r="R64">
        <f t="shared" si="17"/>
        <v>-0.58036207849640686</v>
      </c>
      <c r="S64">
        <f t="shared" si="17"/>
        <v>-0.40148387279282127</v>
      </c>
      <c r="T64">
        <f t="shared" si="17"/>
        <v>-6.6349814344881519E-2</v>
      </c>
      <c r="U64">
        <f t="shared" si="17"/>
        <v>-0.26763707785336699</v>
      </c>
      <c r="V64">
        <f t="shared" si="17"/>
        <v>-0.61165048543689315</v>
      </c>
      <c r="W64">
        <f t="shared" si="17"/>
        <v>2.4817022425089874E-3</v>
      </c>
      <c r="X64">
        <f t="shared" si="17"/>
        <v>0.8382657193825076</v>
      </c>
      <c r="Y64">
        <f t="shared" si="17"/>
        <v>0.48243209672012211</v>
      </c>
      <c r="Z64">
        <f t="shared" si="17"/>
        <v>0.18520929459786317</v>
      </c>
      <c r="AA64">
        <f t="shared" si="17"/>
        <v>-0.19008543906012343</v>
      </c>
      <c r="AB64">
        <f t="shared" si="17"/>
        <v>4.0503246462678666E-2</v>
      </c>
      <c r="AC64">
        <v>0</v>
      </c>
      <c r="AD64">
        <f t="shared" si="17"/>
        <v>-0.26726823489492824</v>
      </c>
      <c r="AE64">
        <f t="shared" si="17"/>
        <v>9.2260897664398156E-2</v>
      </c>
      <c r="AF64">
        <f t="shared" si="17"/>
        <v>0.22736912532295173</v>
      </c>
      <c r="AG64">
        <f t="shared" si="17"/>
        <v>-0.90641411819334461</v>
      </c>
    </row>
    <row r="65" spans="1:33">
      <c r="A65">
        <f t="shared" ref="A65:B65" si="23">((A18-A$41)/A$43) * 2 - 1</f>
        <v>0.98714780029658922</v>
      </c>
      <c r="B65">
        <f t="shared" si="23"/>
        <v>-1.1235955056179692E-2</v>
      </c>
      <c r="C65">
        <f t="shared" si="8"/>
        <v>-0.19779874956558707</v>
      </c>
      <c r="D65">
        <f t="shared" si="17"/>
        <v>0.30560271646859083</v>
      </c>
      <c r="E65">
        <f t="shared" si="17"/>
        <v>-0.58520786715345663</v>
      </c>
      <c r="F65">
        <f t="shared" si="17"/>
        <v>-0.23957708262673172</v>
      </c>
      <c r="G65">
        <f t="shared" si="17"/>
        <v>-6.5936699759060469E-2</v>
      </c>
      <c r="H65">
        <f t="shared" si="17"/>
        <v>-0.31806432838631271</v>
      </c>
      <c r="I65">
        <f t="shared" si="17"/>
        <v>0.28315412186379918</v>
      </c>
      <c r="J65">
        <f t="shared" si="17"/>
        <v>0.30560271646859083</v>
      </c>
      <c r="K65">
        <f t="shared" si="17"/>
        <v>0.16949152542372881</v>
      </c>
      <c r="L65">
        <f t="shared" si="17"/>
        <v>-0.53398058252427183</v>
      </c>
      <c r="M65">
        <f t="shared" si="17"/>
        <v>0.10527837408818641</v>
      </c>
      <c r="N65">
        <f t="shared" si="17"/>
        <v>0.23815950437346478</v>
      </c>
      <c r="O65">
        <f t="shared" si="17"/>
        <v>-0.18533895391041888</v>
      </c>
      <c r="P65">
        <f t="shared" si="17"/>
        <v>-0.36217284734099775</v>
      </c>
      <c r="Q65">
        <f t="shared" si="17"/>
        <v>-0.37604946503803838</v>
      </c>
      <c r="R65">
        <f t="shared" si="17"/>
        <v>-0.51369146331832893</v>
      </c>
      <c r="S65">
        <f t="shared" si="17"/>
        <v>-0.39908043102165758</v>
      </c>
      <c r="T65">
        <f t="shared" si="17"/>
        <v>-4.7624596251321205E-2</v>
      </c>
      <c r="U65">
        <f t="shared" si="17"/>
        <v>-0.20641260907212422</v>
      </c>
      <c r="V65">
        <f t="shared" si="17"/>
        <v>-0.53398058252427183</v>
      </c>
      <c r="W65">
        <f t="shared" si="17"/>
        <v>7.2310858095497199E-2</v>
      </c>
      <c r="X65">
        <f t="shared" si="17"/>
        <v>0.91738342442748455</v>
      </c>
      <c r="Y65">
        <f t="shared" si="17"/>
        <v>0.481536458146542</v>
      </c>
      <c r="Z65">
        <f t="shared" si="17"/>
        <v>0.24140884953745334</v>
      </c>
      <c r="AA65">
        <f t="shared" si="17"/>
        <v>-8.4176122021530575E-2</v>
      </c>
      <c r="AB65">
        <f t="shared" si="17"/>
        <v>-3.6829962789303061E-2</v>
      </c>
      <c r="AC65">
        <v>0</v>
      </c>
      <c r="AD65">
        <f t="shared" si="17"/>
        <v>-0.13701288777560883</v>
      </c>
      <c r="AE65">
        <f t="shared" si="17"/>
        <v>0.41601448437091681</v>
      </c>
      <c r="AF65">
        <f t="shared" si="17"/>
        <v>0.53603613642981629</v>
      </c>
      <c r="AG65">
        <f t="shared" si="17"/>
        <v>1</v>
      </c>
    </row>
    <row r="66" spans="1:33">
      <c r="A66">
        <f t="shared" ref="A66:B66" si="24">((A19-A$41)/A$43) * 2 - 1</f>
        <v>0.98813643104300541</v>
      </c>
      <c r="B66">
        <f t="shared" si="24"/>
        <v>-7.8651685393258508E-2</v>
      </c>
      <c r="C66">
        <f t="shared" si="8"/>
        <v>-0.12019488691767577</v>
      </c>
      <c r="D66">
        <f t="shared" si="17"/>
        <v>0.24957555178268254</v>
      </c>
      <c r="E66">
        <f t="shared" si="17"/>
        <v>-0.48313900993208492</v>
      </c>
      <c r="F66">
        <f t="shared" si="17"/>
        <v>-0.13772861279970783</v>
      </c>
      <c r="G66">
        <f t="shared" si="17"/>
        <v>7.9131608492172711E-2</v>
      </c>
      <c r="H66">
        <f t="shared" si="17"/>
        <v>-0.27160194946360405</v>
      </c>
      <c r="I66">
        <f t="shared" si="17"/>
        <v>0.31899641577060933</v>
      </c>
      <c r="J66">
        <f t="shared" si="17"/>
        <v>0.24957555178268254</v>
      </c>
      <c r="K66">
        <f t="shared" si="17"/>
        <v>0.25423728813559321</v>
      </c>
      <c r="L66">
        <f t="shared" si="17"/>
        <v>0.16504854368932032</v>
      </c>
      <c r="M66">
        <f t="shared" si="17"/>
        <v>9.5560480582832286E-2</v>
      </c>
      <c r="N66">
        <f t="shared" si="17"/>
        <v>0.28705146159320716</v>
      </c>
      <c r="O66">
        <f t="shared" si="17"/>
        <v>-0.10227837139109286</v>
      </c>
      <c r="P66">
        <f t="shared" si="17"/>
        <v>-0.31381516990310776</v>
      </c>
      <c r="Q66">
        <f t="shared" si="17"/>
        <v>-0.33846573515594214</v>
      </c>
      <c r="R66">
        <f t="shared" si="17"/>
        <v>-0.40615375503435203</v>
      </c>
      <c r="S66">
        <f t="shared" si="17"/>
        <v>-0.31606924984838702</v>
      </c>
      <c r="T66">
        <f t="shared" si="17"/>
        <v>-1.2658548319265384E-3</v>
      </c>
      <c r="U66">
        <f t="shared" si="17"/>
        <v>-0.12806466063757638</v>
      </c>
      <c r="V66">
        <f t="shared" si="17"/>
        <v>0.16504854368932032</v>
      </c>
      <c r="W66">
        <f t="shared" si="17"/>
        <v>8.2670597523784251E-2</v>
      </c>
      <c r="X66">
        <f t="shared" si="17"/>
        <v>0.75333081547674197</v>
      </c>
      <c r="Y66">
        <f t="shared" si="17"/>
        <v>0.56270690258643086</v>
      </c>
      <c r="Z66">
        <f t="shared" si="17"/>
        <v>0.26977367152335674</v>
      </c>
      <c r="AA66">
        <f t="shared" si="17"/>
        <v>0.3200809326107843</v>
      </c>
      <c r="AB66">
        <f t="shared" si="17"/>
        <v>-0.19429244404452772</v>
      </c>
      <c r="AC66">
        <v>0</v>
      </c>
      <c r="AD66">
        <f t="shared" si="17"/>
        <v>-6.4835273254495895E-2</v>
      </c>
      <c r="AE66">
        <f t="shared" si="17"/>
        <v>0.90499827348860951</v>
      </c>
      <c r="AF66">
        <f t="shared" si="17"/>
        <v>0.62940815243115167</v>
      </c>
      <c r="AG66">
        <f t="shared" si="17"/>
        <v>-0.38102483192728198</v>
      </c>
    </row>
    <row r="67" spans="1:33">
      <c r="A67">
        <f t="shared" ref="A67:B67" si="25">((A20-A$41)/A$43) * 2 - 1</f>
        <v>0.98912506178942161</v>
      </c>
      <c r="B67">
        <f t="shared" si="25"/>
        <v>-0.21348314606741581</v>
      </c>
      <c r="C67">
        <f t="shared" si="8"/>
        <v>-5.2713267223839955E-2</v>
      </c>
      <c r="D67">
        <f t="shared" si="17"/>
        <v>0.38030560271646863</v>
      </c>
      <c r="E67">
        <f t="shared" si="17"/>
        <v>-0.46121383425587881</v>
      </c>
      <c r="F67">
        <f t="shared" si="17"/>
        <v>-3.8495656030681724E-2</v>
      </c>
      <c r="G67">
        <f t="shared" si="17"/>
        <v>0.1737413747429768</v>
      </c>
      <c r="H67">
        <f t="shared" si="17"/>
        <v>-0.21780340544783616</v>
      </c>
      <c r="I67">
        <f t="shared" si="17"/>
        <v>0.45519713261648742</v>
      </c>
      <c r="J67">
        <f t="shared" si="17"/>
        <v>0.38030560271646863</v>
      </c>
      <c r="K67">
        <f t="shared" si="17"/>
        <v>0.33898305084745761</v>
      </c>
      <c r="L67">
        <f t="shared" si="17"/>
        <v>-0.33980582524271852</v>
      </c>
      <c r="M67">
        <f t="shared" si="17"/>
        <v>0.6637032649574961</v>
      </c>
      <c r="N67">
        <f t="shared" si="17"/>
        <v>0.28836169717323634</v>
      </c>
      <c r="O67">
        <f t="shared" si="17"/>
        <v>-5.9971217890755324E-2</v>
      </c>
      <c r="P67">
        <f t="shared" si="17"/>
        <v>-0.40023187243692782</v>
      </c>
      <c r="Q67">
        <f t="shared" si="17"/>
        <v>-0.29482011335737879</v>
      </c>
      <c r="R67">
        <f t="shared" si="17"/>
        <v>-0.33723248835189135</v>
      </c>
      <c r="S67">
        <f t="shared" ref="D67:AG75" si="26">((S20-S$41)/S$43) * 2 - 1</f>
        <v>-0.26642893326704387</v>
      </c>
      <c r="T67">
        <f t="shared" si="26"/>
        <v>3.9147432319365016E-2</v>
      </c>
      <c r="U67">
        <f t="shared" si="26"/>
        <v>-5.6083853044641585E-2</v>
      </c>
      <c r="V67">
        <f t="shared" si="26"/>
        <v>-0.33980582524271852</v>
      </c>
      <c r="W67">
        <f t="shared" si="26"/>
        <v>9.1118444764534345E-2</v>
      </c>
      <c r="X67">
        <f t="shared" si="26"/>
        <v>0.77396536284451289</v>
      </c>
      <c r="Y67">
        <f t="shared" si="26"/>
        <v>0.604110994359363</v>
      </c>
      <c r="Z67">
        <f t="shared" si="26"/>
        <v>0.38613483587902686</v>
      </c>
      <c r="AA67">
        <f t="shared" si="26"/>
        <v>0.33530110938480373</v>
      </c>
      <c r="AB67">
        <f t="shared" si="26"/>
        <v>-0.10746733755800197</v>
      </c>
      <c r="AC67">
        <v>0</v>
      </c>
      <c r="AD67">
        <f t="shared" si="26"/>
        <v>-4.9419245688966718E-2</v>
      </c>
      <c r="AE67">
        <f t="shared" si="26"/>
        <v>1</v>
      </c>
      <c r="AF67">
        <f t="shared" si="26"/>
        <v>0.74951968895496246</v>
      </c>
      <c r="AG67">
        <f t="shared" si="26"/>
        <v>-0.61913856663211164</v>
      </c>
    </row>
    <row r="68" spans="1:33">
      <c r="A68">
        <f t="shared" ref="A68:B68" si="27">((A21-A$41)/A$43) * 2 - 1</f>
        <v>0.99011369253583781</v>
      </c>
      <c r="B68">
        <f t="shared" si="27"/>
        <v>-0.2359550561797753</v>
      </c>
      <c r="C68">
        <f t="shared" si="8"/>
        <v>3.5012838378146727E-2</v>
      </c>
      <c r="D68">
        <f t="shared" si="26"/>
        <v>0.63327674023769109</v>
      </c>
      <c r="E68">
        <f t="shared" si="26"/>
        <v>-0.46594433321556161</v>
      </c>
      <c r="F68">
        <f t="shared" si="26"/>
        <v>2.5405045787784797E-2</v>
      </c>
      <c r="G68">
        <f t="shared" si="26"/>
        <v>0.16743405699292313</v>
      </c>
      <c r="H68">
        <f t="shared" si="26"/>
        <v>-0.16155947306771523</v>
      </c>
      <c r="I68">
        <f t="shared" si="26"/>
        <v>0.51971326164874543</v>
      </c>
      <c r="J68">
        <f t="shared" si="26"/>
        <v>0.63327674023769109</v>
      </c>
      <c r="K68">
        <f t="shared" si="26"/>
        <v>0.53389830508474567</v>
      </c>
      <c r="L68">
        <f t="shared" si="26"/>
        <v>-0.41747572815533984</v>
      </c>
      <c r="M68">
        <f t="shared" si="26"/>
        <v>9.3596026018314848E-2</v>
      </c>
      <c r="N68">
        <f t="shared" si="26"/>
        <v>0.33273916308907303</v>
      </c>
      <c r="O68">
        <f t="shared" si="26"/>
        <v>-0.15729550056672736</v>
      </c>
      <c r="P68">
        <f t="shared" si="26"/>
        <v>-0.29403686911106452</v>
      </c>
      <c r="Q68">
        <f t="shared" si="26"/>
        <v>-0.21924852746542201</v>
      </c>
      <c r="R68">
        <f t="shared" si="26"/>
        <v>-0.25146094922214324</v>
      </c>
      <c r="S68">
        <f t="shared" si="26"/>
        <v>-0.29083311125116784</v>
      </c>
      <c r="T68">
        <f t="shared" si="26"/>
        <v>0.10436965821064792</v>
      </c>
      <c r="U68">
        <f t="shared" si="26"/>
        <v>3.5757947918128474E-2</v>
      </c>
      <c r="V68">
        <f t="shared" si="26"/>
        <v>-0.41747572815533984</v>
      </c>
      <c r="W68">
        <f t="shared" si="26"/>
        <v>0.1187148452824216</v>
      </c>
      <c r="X68">
        <f t="shared" si="26"/>
        <v>0.86266992562821709</v>
      </c>
      <c r="Y68">
        <f t="shared" si="26"/>
        <v>0.56401197593650476</v>
      </c>
      <c r="Z68">
        <f t="shared" si="26"/>
        <v>0.35209540691909114</v>
      </c>
      <c r="AA68">
        <f t="shared" si="26"/>
        <v>0.30864095146732806</v>
      </c>
      <c r="AB68">
        <f t="shared" si="26"/>
        <v>-5.3827081093021367E-2</v>
      </c>
      <c r="AC68">
        <v>0</v>
      </c>
      <c r="AD68">
        <f t="shared" si="26"/>
        <v>2.2245462740607236E-2</v>
      </c>
      <c r="AE68">
        <f t="shared" si="26"/>
        <v>0.99291178817384229</v>
      </c>
      <c r="AF68">
        <f t="shared" si="26"/>
        <v>1</v>
      </c>
      <c r="AG68">
        <f t="shared" si="26"/>
        <v>-0.81974649411576628</v>
      </c>
    </row>
    <row r="69" spans="1:33">
      <c r="A69">
        <f t="shared" ref="A69:B69" si="28">((A22-A$41)/A$43) * 2 - 1</f>
        <v>0.99110232328225401</v>
      </c>
      <c r="B69">
        <f t="shared" si="28"/>
        <v>-0.1460674157303371</v>
      </c>
      <c r="C69">
        <f t="shared" si="8"/>
        <v>0.11261670102605792</v>
      </c>
      <c r="D69">
        <f t="shared" si="26"/>
        <v>0.70967741935483875</v>
      </c>
      <c r="E69">
        <f t="shared" si="26"/>
        <v>-0.4457464766615632</v>
      </c>
      <c r="F69">
        <f t="shared" si="26"/>
        <v>0.10280727386574129</v>
      </c>
      <c r="G69">
        <f t="shared" si="26"/>
        <v>0.26835114099378088</v>
      </c>
      <c r="H69">
        <f t="shared" si="26"/>
        <v>-9.5533987230181916E-2</v>
      </c>
      <c r="I69">
        <f t="shared" si="26"/>
        <v>0.46953405017921157</v>
      </c>
      <c r="J69">
        <f t="shared" si="26"/>
        <v>0.70967741935483875</v>
      </c>
      <c r="K69">
        <f t="shared" si="26"/>
        <v>0.70338983050847448</v>
      </c>
      <c r="L69">
        <f t="shared" si="26"/>
        <v>-0.47572815533980584</v>
      </c>
      <c r="M69">
        <f t="shared" si="26"/>
        <v>0.48014514520151086</v>
      </c>
      <c r="N69">
        <f t="shared" si="26"/>
        <v>0.40789486630349581</v>
      </c>
      <c r="O69">
        <f t="shared" si="26"/>
        <v>-6.1856063982883569E-2</v>
      </c>
      <c r="P69">
        <f t="shared" si="26"/>
        <v>-0.17815425037828014</v>
      </c>
      <c r="Q69">
        <f t="shared" si="26"/>
        <v>-0.12670364420735714</v>
      </c>
      <c r="R69">
        <f t="shared" si="26"/>
        <v>-0.15746663507857539</v>
      </c>
      <c r="S69">
        <f t="shared" si="26"/>
        <v>-0.26291621067841986</v>
      </c>
      <c r="T69">
        <f t="shared" si="26"/>
        <v>0.1464816465813974</v>
      </c>
      <c r="U69">
        <f t="shared" si="26"/>
        <v>0.13220305406903021</v>
      </c>
      <c r="V69">
        <f t="shared" si="26"/>
        <v>-0.47572815533980584</v>
      </c>
      <c r="W69">
        <f t="shared" si="26"/>
        <v>0.1052902195024592</v>
      </c>
      <c r="X69">
        <f t="shared" si="26"/>
        <v>0.72365098707104392</v>
      </c>
      <c r="Y69">
        <f t="shared" si="26"/>
        <v>0.47117264036654372</v>
      </c>
      <c r="Z69">
        <f t="shared" si="26"/>
        <v>0.40603001918935733</v>
      </c>
      <c r="AA69">
        <f t="shared" si="26"/>
        <v>0.3229911632176472</v>
      </c>
      <c r="AB69">
        <f t="shared" si="26"/>
        <v>-5.6917466239151726E-2</v>
      </c>
      <c r="AC69">
        <v>0</v>
      </c>
      <c r="AD69">
        <f t="shared" si="26"/>
        <v>7.6428101801899517E-2</v>
      </c>
      <c r="AE69">
        <f t="shared" si="26"/>
        <v>0.79521339026468318</v>
      </c>
      <c r="AF69">
        <f t="shared" si="26"/>
        <v>0.56276509748687453</v>
      </c>
      <c r="AG69">
        <f t="shared" si="26"/>
        <v>-0.92722572053950048</v>
      </c>
    </row>
    <row r="70" spans="1:33">
      <c r="A70">
        <f t="shared" ref="A70:B70" si="29">((A23-A$41)/A$43) * 2 - 1</f>
        <v>0.9920909540286702</v>
      </c>
      <c r="B70">
        <f t="shared" si="29"/>
        <v>-0.1685393258426966</v>
      </c>
      <c r="C70">
        <f t="shared" si="8"/>
        <v>0.18347240170458567</v>
      </c>
      <c r="D70">
        <f t="shared" si="26"/>
        <v>0.8607809847198642</v>
      </c>
      <c r="E70">
        <f t="shared" si="26"/>
        <v>-0.41200486789934443</v>
      </c>
      <c r="F70">
        <f t="shared" si="26"/>
        <v>0.14513814605129283</v>
      </c>
      <c r="G70">
        <f t="shared" si="26"/>
        <v>0.24312186999356644</v>
      </c>
      <c r="H70">
        <f t="shared" si="26"/>
        <v>2.2815473439414813E-3</v>
      </c>
      <c r="I70">
        <f t="shared" si="26"/>
        <v>0.57706093189964158</v>
      </c>
      <c r="J70">
        <f t="shared" si="26"/>
        <v>0.8607809847198642</v>
      </c>
      <c r="K70">
        <f t="shared" si="26"/>
        <v>0.70338983050847448</v>
      </c>
      <c r="L70">
        <f t="shared" si="26"/>
        <v>-0.84466019417475735</v>
      </c>
      <c r="M70">
        <f t="shared" si="26"/>
        <v>-4.7565716065412711E-2</v>
      </c>
      <c r="N70">
        <f t="shared" si="26"/>
        <v>0.59306280275625034</v>
      </c>
      <c r="O70">
        <f t="shared" si="26"/>
        <v>8.8091083913857338E-2</v>
      </c>
      <c r="P70">
        <f t="shared" si="26"/>
        <v>-6.1006677990503189E-2</v>
      </c>
      <c r="Q70">
        <f t="shared" si="26"/>
        <v>2.1206518554440779E-2</v>
      </c>
      <c r="R70">
        <f t="shared" si="26"/>
        <v>-3.4322435441838439E-2</v>
      </c>
      <c r="S70">
        <f t="shared" si="26"/>
        <v>-0.25219316277630477</v>
      </c>
      <c r="T70">
        <f t="shared" si="26"/>
        <v>0.18373455937090677</v>
      </c>
      <c r="U70">
        <f t="shared" si="26"/>
        <v>0.32861074209598451</v>
      </c>
      <c r="V70">
        <f t="shared" si="26"/>
        <v>-0.84466019417475735</v>
      </c>
      <c r="W70">
        <f t="shared" si="26"/>
        <v>0.19139916973993443</v>
      </c>
      <c r="X70">
        <f t="shared" si="26"/>
        <v>0.68652685436574945</v>
      </c>
      <c r="Y70">
        <f t="shared" si="26"/>
        <v>0.3980629430888758</v>
      </c>
      <c r="Z70">
        <f t="shared" si="26"/>
        <v>0.33312895106784279</v>
      </c>
      <c r="AA70">
        <f t="shared" si="26"/>
        <v>-0.13273592265411793</v>
      </c>
      <c r="AB70">
        <f t="shared" si="26"/>
        <v>0.27456313098271146</v>
      </c>
      <c r="AC70">
        <v>0</v>
      </c>
      <c r="AD70">
        <f t="shared" si="26"/>
        <v>0.15546925082103336</v>
      </c>
      <c r="AE70">
        <f t="shared" si="26"/>
        <v>1.0444591374715317E-2</v>
      </c>
      <c r="AF70">
        <f t="shared" si="26"/>
        <v>0.86285634943445366</v>
      </c>
      <c r="AG70">
        <f t="shared" si="26"/>
        <v>-0.93383339080422378</v>
      </c>
    </row>
    <row r="71" spans="1:33">
      <c r="A71">
        <f t="shared" ref="A71:B71" si="30">((A24-A$41)/A$43) * 2 - 1</f>
        <v>0.9930795847750864</v>
      </c>
      <c r="B71">
        <f t="shared" si="30"/>
        <v>-0.12359550561797761</v>
      </c>
      <c r="C71">
        <f t="shared" si="8"/>
        <v>0.27457258829126419</v>
      </c>
      <c r="D71">
        <f t="shared" si="26"/>
        <v>0.79966044142614612</v>
      </c>
      <c r="E71">
        <f t="shared" si="26"/>
        <v>-0.34465905075962788</v>
      </c>
      <c r="F71">
        <f t="shared" si="26"/>
        <v>0.16692321740718508</v>
      </c>
      <c r="G71">
        <f t="shared" si="26"/>
        <v>0.28096577649388821</v>
      </c>
      <c r="H71">
        <f t="shared" si="26"/>
        <v>9.2760916825005646E-2</v>
      </c>
      <c r="I71">
        <f t="shared" si="26"/>
        <v>0.29749103942652333</v>
      </c>
      <c r="J71">
        <f t="shared" si="26"/>
        <v>0.79966044142614612</v>
      </c>
      <c r="K71">
        <f t="shared" si="26"/>
        <v>0.72881355932203395</v>
      </c>
      <c r="L71">
        <f t="shared" si="26"/>
        <v>-0.90291262135922334</v>
      </c>
      <c r="M71">
        <f t="shared" si="26"/>
        <v>0.24901325585246536</v>
      </c>
      <c r="N71">
        <f t="shared" si="26"/>
        <v>0.79636249741724519</v>
      </c>
      <c r="O71">
        <f t="shared" si="26"/>
        <v>0.23266387335871941</v>
      </c>
      <c r="P71">
        <f t="shared" si="26"/>
        <v>1.8395963725845954E-2</v>
      </c>
      <c r="Q71">
        <f t="shared" si="26"/>
        <v>0.10728538376827412</v>
      </c>
      <c r="R71">
        <f t="shared" si="26"/>
        <v>0.11557292900576477</v>
      </c>
      <c r="S71">
        <f t="shared" si="26"/>
        <v>-0.15614793199787713</v>
      </c>
      <c r="T71">
        <f t="shared" si="26"/>
        <v>0.22898716976367761</v>
      </c>
      <c r="U71">
        <f t="shared" si="26"/>
        <v>0.31714581034835621</v>
      </c>
      <c r="V71">
        <f t="shared" si="26"/>
        <v>-0.90291262135922334</v>
      </c>
      <c r="W71">
        <f t="shared" si="26"/>
        <v>0.14839888996881734</v>
      </c>
      <c r="X71">
        <f t="shared" si="26"/>
        <v>0.68419902468687122</v>
      </c>
      <c r="Y71">
        <f t="shared" si="26"/>
        <v>0.49650641716209543</v>
      </c>
      <c r="Z71">
        <f t="shared" si="26"/>
        <v>0.27738817345860056</v>
      </c>
      <c r="AA71">
        <f t="shared" si="26"/>
        <v>-0.11380520213960832</v>
      </c>
      <c r="AB71">
        <f t="shared" si="26"/>
        <v>0.32777675535069184</v>
      </c>
      <c r="AC71">
        <v>0</v>
      </c>
      <c r="AD71">
        <f t="shared" si="26"/>
        <v>0.21402201638361684</v>
      </c>
      <c r="AE71">
        <f t="shared" si="26"/>
        <v>-0.17075412934571854</v>
      </c>
      <c r="AF71">
        <f t="shared" si="26"/>
        <v>0.9110309433355479</v>
      </c>
      <c r="AG71">
        <f t="shared" si="26"/>
        <v>-0.93654013835622263</v>
      </c>
    </row>
    <row r="72" spans="1:33">
      <c r="A72">
        <f t="shared" ref="A72:B72" si="31">((A25-A$41)/A$43) * 2 - 1</f>
        <v>0.99406821552150282</v>
      </c>
      <c r="B72">
        <f t="shared" si="31"/>
        <v>-0.12359550561797761</v>
      </c>
      <c r="C72">
        <f t="shared" si="8"/>
        <v>0.35892461290855904</v>
      </c>
      <c r="D72">
        <f t="shared" si="26"/>
        <v>0.89983022071307306</v>
      </c>
      <c r="E72">
        <f t="shared" si="26"/>
        <v>-0.4184038001020689</v>
      </c>
      <c r="F72">
        <f t="shared" si="26"/>
        <v>0.21645490359779807</v>
      </c>
      <c r="G72">
        <f t="shared" si="26"/>
        <v>0.31250236524415631</v>
      </c>
      <c r="H72">
        <f t="shared" si="26"/>
        <v>0.18079489794171666</v>
      </c>
      <c r="I72">
        <f t="shared" si="26"/>
        <v>0.25448028673835132</v>
      </c>
      <c r="J72">
        <f t="shared" si="26"/>
        <v>0.89983022071307306</v>
      </c>
      <c r="K72">
        <f t="shared" si="26"/>
        <v>0.71186440677966112</v>
      </c>
      <c r="L72">
        <f t="shared" si="26"/>
        <v>-0.37864077669902918</v>
      </c>
      <c r="M72">
        <f t="shared" si="26"/>
        <v>0.58913972675085602</v>
      </c>
      <c r="N72">
        <f t="shared" si="26"/>
        <v>0.90563024135228121</v>
      </c>
      <c r="O72">
        <f t="shared" si="26"/>
        <v>0.34460844869525342</v>
      </c>
      <c r="P72">
        <f t="shared" si="26"/>
        <v>0.14403373352679272</v>
      </c>
      <c r="Q72">
        <f t="shared" si="26"/>
        <v>0.13355358207296497</v>
      </c>
      <c r="R72">
        <f t="shared" si="26"/>
        <v>0.24284332306720358</v>
      </c>
      <c r="S72">
        <f t="shared" si="26"/>
        <v>-0.11316330032129496</v>
      </c>
      <c r="T72">
        <f t="shared" si="26"/>
        <v>0.24156941019152334</v>
      </c>
      <c r="U72">
        <f t="shared" si="26"/>
        <v>0.41202079690020543</v>
      </c>
      <c r="V72">
        <f t="shared" si="26"/>
        <v>-0.37864077669902918</v>
      </c>
      <c r="W72">
        <f t="shared" si="26"/>
        <v>0.11112914531007778</v>
      </c>
      <c r="X72">
        <f t="shared" si="26"/>
        <v>0.66715123529369857</v>
      </c>
      <c r="Y72">
        <f t="shared" si="26"/>
        <v>0.61191584478627536</v>
      </c>
      <c r="Z72">
        <f t="shared" si="26"/>
        <v>0.31923261987005547</v>
      </c>
      <c r="AA72">
        <f t="shared" si="26"/>
        <v>-4.9307831415368986E-2</v>
      </c>
      <c r="AB72">
        <f t="shared" si="26"/>
        <v>0.24934961958228286</v>
      </c>
      <c r="AC72">
        <v>0</v>
      </c>
      <c r="AD72">
        <f t="shared" si="26"/>
        <v>0.28701924157835301</v>
      </c>
      <c r="AE72">
        <f t="shared" si="26"/>
        <v>4.2374412663511274E-2</v>
      </c>
      <c r="AF72">
        <f t="shared" si="26"/>
        <v>0.84003041553194868</v>
      </c>
      <c r="AG72">
        <f t="shared" si="26"/>
        <v>-0.93579869585431785</v>
      </c>
    </row>
    <row r="73" spans="1:33">
      <c r="A73">
        <f t="shared" ref="A73:B73" si="32">((A26-A$41)/A$43) * 2 - 1</f>
        <v>0.99505684626791902</v>
      </c>
      <c r="B73">
        <f t="shared" si="32"/>
        <v>-0.101123595505618</v>
      </c>
      <c r="C73">
        <f t="shared" si="8"/>
        <v>0.45002479949523755</v>
      </c>
      <c r="D73">
        <f t="shared" si="26"/>
        <v>0.84719864176570447</v>
      </c>
      <c r="E73">
        <f t="shared" si="26"/>
        <v>-0.47061594629607817</v>
      </c>
      <c r="F73">
        <f t="shared" si="26"/>
        <v>0.23469174776279056</v>
      </c>
      <c r="G73">
        <f t="shared" si="26"/>
        <v>0.36926822499463885</v>
      </c>
      <c r="H73">
        <f t="shared" si="26"/>
        <v>0.29572815106631167</v>
      </c>
      <c r="I73">
        <f t="shared" si="26"/>
        <v>0.13261648745519716</v>
      </c>
      <c r="J73">
        <f t="shared" si="26"/>
        <v>0.84719864176570447</v>
      </c>
      <c r="K73">
        <f t="shared" si="26"/>
        <v>0.79661016949152552</v>
      </c>
      <c r="L73">
        <f t="shared" si="26"/>
        <v>-0.47572815533980584</v>
      </c>
      <c r="M73">
        <f t="shared" si="26"/>
        <v>0.44698772055060609</v>
      </c>
      <c r="N73">
        <f t="shared" si="26"/>
        <v>1</v>
      </c>
      <c r="O73">
        <f t="shared" si="26"/>
        <v>0.44076879522675472</v>
      </c>
      <c r="P73">
        <f t="shared" si="26"/>
        <v>0.18977574408486775</v>
      </c>
      <c r="Q73">
        <f t="shared" si="26"/>
        <v>7.1722284525000291E-2</v>
      </c>
      <c r="R73">
        <f t="shared" si="26"/>
        <v>0.37840559109215821</v>
      </c>
      <c r="S73">
        <f t="shared" si="26"/>
        <v>-0.21484737525514519</v>
      </c>
      <c r="T73">
        <f t="shared" si="26"/>
        <v>0.31609498811030301</v>
      </c>
      <c r="U73">
        <f t="shared" si="26"/>
        <v>0.51220768157612229</v>
      </c>
      <c r="V73">
        <f t="shared" si="26"/>
        <v>-0.47572815533980584</v>
      </c>
      <c r="W73">
        <f t="shared" si="26"/>
        <v>9.5017635338733752E-2</v>
      </c>
      <c r="X73">
        <f t="shared" si="26"/>
        <v>0.69153643884815197</v>
      </c>
      <c r="Y73">
        <f t="shared" si="26"/>
        <v>0.88705601459008543</v>
      </c>
      <c r="Z73">
        <f t="shared" si="26"/>
        <v>0.25556759525650352</v>
      </c>
      <c r="AA73">
        <f t="shared" si="26"/>
        <v>-0.14743857855788445</v>
      </c>
      <c r="AB73">
        <f t="shared" si="26"/>
        <v>0.20339390719572203</v>
      </c>
      <c r="AC73">
        <v>0</v>
      </c>
      <c r="AD73">
        <f t="shared" si="26"/>
        <v>0.3545874705078198</v>
      </c>
      <c r="AE73">
        <f t="shared" si="26"/>
        <v>0.20393409781909844</v>
      </c>
      <c r="AF73">
        <f t="shared" si="26"/>
        <v>-1.4767229959379933</v>
      </c>
      <c r="AG73">
        <f t="shared" si="26"/>
        <v>-1.0004526304573553</v>
      </c>
    </row>
    <row r="74" spans="1:33">
      <c r="A74">
        <f t="shared" ref="A74:B74" si="33">((A27-A$41)/A$43) * 2 - 1</f>
        <v>0.99604547701433521</v>
      </c>
      <c r="B74">
        <f t="shared" si="33"/>
        <v>-0.34831460674157311</v>
      </c>
      <c r="C74">
        <f t="shared" si="8"/>
        <v>0.49051377131153906</v>
      </c>
      <c r="D74">
        <f t="shared" si="26"/>
        <v>0.96943972835314085</v>
      </c>
      <c r="E74">
        <f t="shared" si="26"/>
        <v>-0.45499155969065286</v>
      </c>
      <c r="F74">
        <f t="shared" si="26"/>
        <v>0.22321871168045093</v>
      </c>
      <c r="G74">
        <f t="shared" si="26"/>
        <v>0.41341944924501406</v>
      </c>
      <c r="H74">
        <f t="shared" si="26"/>
        <v>0.37887135545431638</v>
      </c>
      <c r="I74">
        <f t="shared" si="26"/>
        <v>0.10394265232974909</v>
      </c>
      <c r="J74">
        <f t="shared" si="26"/>
        <v>0.96943972835314085</v>
      </c>
      <c r="K74">
        <f t="shared" si="26"/>
        <v>0.92372881355932202</v>
      </c>
      <c r="L74">
        <f t="shared" si="26"/>
        <v>-1</v>
      </c>
      <c r="M74">
        <f t="shared" si="26"/>
        <v>0.54043076201933027</v>
      </c>
      <c r="N74">
        <f t="shared" si="26"/>
        <v>0.97389367905623692</v>
      </c>
      <c r="O74">
        <f t="shared" si="26"/>
        <v>0.41707313966964255</v>
      </c>
      <c r="P74">
        <f t="shared" si="26"/>
        <v>0.6049807014168016</v>
      </c>
      <c r="Q74">
        <f t="shared" si="26"/>
        <v>0.45562674910839673</v>
      </c>
      <c r="R74">
        <f t="shared" si="26"/>
        <v>0.50001974255705606</v>
      </c>
      <c r="S74">
        <f t="shared" si="26"/>
        <v>-0.11344062052566006</v>
      </c>
      <c r="T74">
        <f t="shared" si="26"/>
        <v>0.2872960767385615</v>
      </c>
      <c r="U74">
        <f t="shared" si="26"/>
        <v>0.56676423985229718</v>
      </c>
      <c r="V74">
        <f t="shared" si="26"/>
        <v>-1</v>
      </c>
      <c r="W74">
        <f t="shared" si="26"/>
        <v>0.21496528985279295</v>
      </c>
      <c r="X74">
        <f t="shared" si="26"/>
        <v>0.66823438869529905</v>
      </c>
      <c r="Y74">
        <f t="shared" si="26"/>
        <v>1</v>
      </c>
      <c r="Z74">
        <f t="shared" si="26"/>
        <v>0.21529673278934292</v>
      </c>
      <c r="AA74">
        <f t="shared" si="26"/>
        <v>-0.20951048706797781</v>
      </c>
      <c r="AB74">
        <f t="shared" si="26"/>
        <v>0.30859253519896557</v>
      </c>
      <c r="AC74">
        <v>0</v>
      </c>
      <c r="AD74">
        <f t="shared" si="26"/>
        <v>0.43359594357786579</v>
      </c>
      <c r="AE74">
        <f t="shared" si="26"/>
        <v>0.24866047854878559</v>
      </c>
      <c r="AF74">
        <f t="shared" si="26"/>
        <v>-1.4767229959379933</v>
      </c>
      <c r="AG74">
        <f t="shared" si="26"/>
        <v>-1.0004526304573553</v>
      </c>
    </row>
    <row r="75" spans="1:33">
      <c r="A75">
        <f t="shared" ref="A75:B75" si="34">((A28-A$41)/A$43) * 2 - 1</f>
        <v>0.99703410776075141</v>
      </c>
      <c r="B75">
        <f t="shared" si="34"/>
        <v>-4.2584269662921344</v>
      </c>
      <c r="C75">
        <f t="shared" si="8"/>
        <v>0.27794666927595602</v>
      </c>
      <c r="D75">
        <f t="shared" si="26"/>
        <v>0.61460101867572159</v>
      </c>
      <c r="E75">
        <f t="shared" si="26"/>
        <v>-0.44986848820319558</v>
      </c>
      <c r="F75">
        <f t="shared" si="26"/>
        <v>-0.11668710375955538</v>
      </c>
      <c r="G75">
        <f t="shared" si="26"/>
        <v>4.7595019741904609E-2</v>
      </c>
      <c r="H75">
        <f t="shared" si="26"/>
        <v>0.55493931768773863</v>
      </c>
      <c r="I75">
        <f t="shared" si="26"/>
        <v>1</v>
      </c>
      <c r="J75">
        <f t="shared" si="26"/>
        <v>0.61460101867572159</v>
      </c>
      <c r="K75">
        <f t="shared" si="26"/>
        <v>1</v>
      </c>
      <c r="L75">
        <f t="shared" si="26"/>
        <v>-0.61165048543689315</v>
      </c>
      <c r="M75">
        <f t="shared" si="26"/>
        <v>4.9511193559708122E-2</v>
      </c>
      <c r="N75">
        <f t="shared" si="26"/>
        <v>-0.78813211897398228</v>
      </c>
      <c r="O75">
        <f t="shared" si="26"/>
        <v>-0.74040065714904291</v>
      </c>
      <c r="P75">
        <f t="shared" si="26"/>
        <v>0.76386102447310122</v>
      </c>
      <c r="Q75">
        <f t="shared" si="26"/>
        <v>0.60718940381292996</v>
      </c>
      <c r="R75">
        <f t="shared" si="26"/>
        <v>0.6144870883676854</v>
      </c>
      <c r="S75">
        <f t="shared" si="26"/>
        <v>-0.10456637398597857</v>
      </c>
      <c r="T75">
        <f t="shared" si="26"/>
        <v>5.5008561147560142E-2</v>
      </c>
      <c r="U75">
        <f t="shared" si="26"/>
        <v>0.36384667283836158</v>
      </c>
      <c r="V75">
        <f t="shared" si="26"/>
        <v>-0.61165048543689315</v>
      </c>
      <c r="W75">
        <f t="shared" si="26"/>
        <v>0.47049600706394323</v>
      </c>
      <c r="X75">
        <f t="shared" si="26"/>
        <v>-0.25349352602062269</v>
      </c>
      <c r="Y75">
        <f t="shared" si="26"/>
        <v>0.37562617323375269</v>
      </c>
      <c r="Z75">
        <f t="shared" si="26"/>
        <v>0.3187806515121272</v>
      </c>
      <c r="AA75">
        <f t="shared" si="26"/>
        <v>-5.0004478727569968E-2</v>
      </c>
      <c r="AB75">
        <f t="shared" si="26"/>
        <v>0.56973810065565011</v>
      </c>
      <c r="AC75">
        <v>0</v>
      </c>
      <c r="AD75">
        <f t="shared" si="26"/>
        <v>0.53207054993860003</v>
      </c>
      <c r="AE75">
        <f t="shared" si="26"/>
        <v>0.4757448927608694</v>
      </c>
      <c r="AF75">
        <f t="shared" si="26"/>
        <v>-1.4767229959379933</v>
      </c>
      <c r="AG75">
        <f t="shared" si="26"/>
        <v>-1.0004526304573553</v>
      </c>
    </row>
    <row r="76" spans="1:33">
      <c r="A76">
        <f t="shared" ref="A76:B76" si="35">((A29-A$41)/A$43) * 2 - 1</f>
        <v>0.99802273850716761</v>
      </c>
      <c r="B76">
        <f t="shared" si="35"/>
        <v>-0.2359550561797753</v>
      </c>
      <c r="C76">
        <f t="shared" si="8"/>
        <v>0.37916909881670979</v>
      </c>
      <c r="D76">
        <f t="shared" ref="D76:AG78" si="36">((D29-D$41)/D$43) * 2 - 1</f>
        <v>-1.8675721561969394E-2</v>
      </c>
      <c r="E76">
        <f t="shared" si="36"/>
        <v>-0.40778471322576848</v>
      </c>
      <c r="F76">
        <f t="shared" si="36"/>
        <v>0.11189308356596839</v>
      </c>
      <c r="G76">
        <f t="shared" si="36"/>
        <v>0.35665358949453152</v>
      </c>
      <c r="H76">
        <f t="shared" si="36"/>
        <v>0.85083130977446175</v>
      </c>
      <c r="I76">
        <f t="shared" si="36"/>
        <v>0.72759856630824382</v>
      </c>
      <c r="J76">
        <f t="shared" si="36"/>
        <v>-1.8675721561969394E-2</v>
      </c>
      <c r="K76">
        <f t="shared" si="36"/>
        <v>0.84745762711864403</v>
      </c>
      <c r="L76">
        <f t="shared" si="36"/>
        <v>-0.32038834951456319</v>
      </c>
      <c r="M76">
        <f t="shared" si="36"/>
        <v>8.0195679127131214E-2</v>
      </c>
      <c r="N76">
        <f t="shared" si="36"/>
        <v>-1</v>
      </c>
      <c r="O76">
        <f t="shared" si="36"/>
        <v>-0.794933839355077</v>
      </c>
      <c r="P76">
        <f t="shared" si="36"/>
        <v>0.56574569821957765</v>
      </c>
      <c r="Q76">
        <f t="shared" si="36"/>
        <v>0.72802311601450809</v>
      </c>
      <c r="R76">
        <f t="shared" si="36"/>
        <v>0.75758114190950021</v>
      </c>
      <c r="S76">
        <f t="shared" si="36"/>
        <v>6.0808907883710628E-2</v>
      </c>
      <c r="T76">
        <f t="shared" si="36"/>
        <v>0.30082642947494209</v>
      </c>
      <c r="U76">
        <f t="shared" si="36"/>
        <v>0.4403186342194958</v>
      </c>
      <c r="V76">
        <f t="shared" si="36"/>
        <v>-0.32038834951456319</v>
      </c>
      <c r="W76">
        <f t="shared" si="36"/>
        <v>0.66036259285212129</v>
      </c>
      <c r="X76">
        <f t="shared" si="36"/>
        <v>-1</v>
      </c>
      <c r="Y76">
        <f t="shared" si="36"/>
        <v>0.62700479578374702</v>
      </c>
      <c r="Z76">
        <f t="shared" si="36"/>
        <v>0.74798404314271649</v>
      </c>
      <c r="AA76">
        <f t="shared" si="36"/>
        <v>0.61155260253161758</v>
      </c>
      <c r="AB76">
        <f t="shared" si="36"/>
        <v>0.73628677850814905</v>
      </c>
      <c r="AC76">
        <v>0</v>
      </c>
      <c r="AD76">
        <f t="shared" si="36"/>
        <v>0.63373303315991936</v>
      </c>
      <c r="AE76">
        <f t="shared" si="36"/>
        <v>0.60806254511182489</v>
      </c>
      <c r="AF76">
        <f t="shared" si="36"/>
        <v>-1.4767229959379933</v>
      </c>
      <c r="AG76">
        <f t="shared" si="36"/>
        <v>-1.0004526304573553</v>
      </c>
    </row>
    <row r="77" spans="1:33">
      <c r="A77">
        <f t="shared" ref="A77:B77" si="37">((A30-A$41)/A$43) * 2 - 1</f>
        <v>0.9990113692535838</v>
      </c>
      <c r="B77">
        <f t="shared" si="37"/>
        <v>1</v>
      </c>
      <c r="C77">
        <f>((C30-C$41)/C$43) * 2 - 1</f>
        <v>0.68958454940835501</v>
      </c>
      <c r="D77">
        <f t="shared" ref="D77:AG77" si="38">((D30-D$41)/D$43) * 2 - 1</f>
        <v>0.49066213921901536</v>
      </c>
      <c r="E77">
        <f t="shared" si="38"/>
        <v>0.23780080869940723</v>
      </c>
      <c r="F77">
        <f t="shared" si="38"/>
        <v>0.79352448537660769</v>
      </c>
      <c r="G77">
        <f t="shared" si="38"/>
        <v>0.99369268224994634</v>
      </c>
      <c r="H77">
        <f t="shared" si="38"/>
        <v>0.89729368869717052</v>
      </c>
      <c r="I77">
        <f t="shared" si="38"/>
        <v>0.35483870967741926</v>
      </c>
      <c r="J77">
        <f t="shared" si="38"/>
        <v>0.49066213921901536</v>
      </c>
      <c r="K77">
        <f t="shared" si="38"/>
        <v>0.70338983050847448</v>
      </c>
      <c r="L77">
        <f t="shared" si="38"/>
        <v>1</v>
      </c>
      <c r="M77">
        <f t="shared" si="38"/>
        <v>0.53462527883963284</v>
      </c>
      <c r="N77">
        <f t="shared" si="38"/>
        <v>0.34058909765928624</v>
      </c>
      <c r="O77">
        <f t="shared" si="38"/>
        <v>0.46134155194151893</v>
      </c>
      <c r="P77">
        <f t="shared" si="38"/>
        <v>0.7356461259990319</v>
      </c>
      <c r="Q77">
        <f t="shared" si="38"/>
        <v>0.91513351316946023</v>
      </c>
      <c r="R77">
        <f t="shared" si="38"/>
        <v>0.86912658927584308</v>
      </c>
      <c r="S77">
        <f t="shared" si="38"/>
        <v>0.50932811841011194</v>
      </c>
      <c r="T77">
        <f t="shared" si="38"/>
        <v>0.61078014500674449</v>
      </c>
      <c r="U77">
        <f t="shared" si="38"/>
        <v>0.72688075441932898</v>
      </c>
      <c r="V77">
        <f t="shared" si="38"/>
        <v>1</v>
      </c>
      <c r="W77">
        <f t="shared" si="38"/>
        <v>0.8661173428791209</v>
      </c>
      <c r="X77">
        <f t="shared" si="38"/>
        <v>0.35550709869285235</v>
      </c>
      <c r="Y77">
        <f t="shared" si="38"/>
        <v>0.78774812134499328</v>
      </c>
      <c r="Z77">
        <f t="shared" si="38"/>
        <v>1</v>
      </c>
      <c r="AA77">
        <f t="shared" si="38"/>
        <v>1</v>
      </c>
      <c r="AB77">
        <f t="shared" si="38"/>
        <v>0.91415980130388919</v>
      </c>
      <c r="AC77">
        <v>0</v>
      </c>
      <c r="AD77">
        <f t="shared" si="38"/>
        <v>0.74231802887119791</v>
      </c>
      <c r="AE77">
        <f t="shared" si="38"/>
        <v>0.75185401003252683</v>
      </c>
      <c r="AF77">
        <f t="shared" si="38"/>
        <v>-1.4767229959379933</v>
      </c>
      <c r="AG77">
        <f t="shared" si="38"/>
        <v>-1.0004526304573553</v>
      </c>
    </row>
    <row r="78" spans="1:33">
      <c r="A78">
        <f t="shared" ref="A78:B78" si="39">((A31-A$41)/A$43) * 2 - 1</f>
        <v>1</v>
      </c>
      <c r="B78">
        <f t="shared" si="39"/>
        <v>0.57303370786516838</v>
      </c>
      <c r="C78">
        <f t="shared" si="8"/>
        <v>1</v>
      </c>
      <c r="D78">
        <f t="shared" si="36"/>
        <v>1</v>
      </c>
      <c r="E78">
        <f t="shared" si="36"/>
        <v>1</v>
      </c>
      <c r="F78">
        <f t="shared" si="36"/>
        <v>1</v>
      </c>
      <c r="G78">
        <f t="shared" si="36"/>
        <v>1</v>
      </c>
      <c r="H78">
        <f t="shared" si="36"/>
        <v>1</v>
      </c>
      <c r="I78">
        <f t="shared" si="36"/>
        <v>-4.6594982078853042E-2</v>
      </c>
      <c r="J78">
        <f t="shared" si="36"/>
        <v>1</v>
      </c>
      <c r="K78">
        <f t="shared" si="36"/>
        <v>0.56779661016949157</v>
      </c>
      <c r="L78">
        <f t="shared" si="36"/>
        <v>0.26213592233009697</v>
      </c>
      <c r="M78">
        <f t="shared" si="36"/>
        <v>1</v>
      </c>
      <c r="N78">
        <f t="shared" si="36"/>
        <v>0.82945947452829882</v>
      </c>
      <c r="O78">
        <f t="shared" si="36"/>
        <v>1</v>
      </c>
      <c r="P78">
        <f t="shared" si="36"/>
        <v>1</v>
      </c>
      <c r="Q78">
        <f t="shared" si="36"/>
        <v>1</v>
      </c>
      <c r="R78">
        <f t="shared" si="36"/>
        <v>1</v>
      </c>
      <c r="S78">
        <f t="shared" si="36"/>
        <v>1</v>
      </c>
      <c r="T78">
        <f t="shared" si="36"/>
        <v>1</v>
      </c>
      <c r="U78">
        <f t="shared" si="36"/>
        <v>1</v>
      </c>
      <c r="V78">
        <f t="shared" si="36"/>
        <v>0.26213592233009697</v>
      </c>
      <c r="W78">
        <f t="shared" si="36"/>
        <v>1</v>
      </c>
      <c r="X78">
        <f t="shared" si="36"/>
        <v>1.0385540852223194</v>
      </c>
      <c r="Y78">
        <f t="shared" si="36"/>
        <v>-1.4222073041818111</v>
      </c>
      <c r="Z78">
        <f t="shared" si="36"/>
        <v>-1.8815499119316161</v>
      </c>
      <c r="AA78">
        <f t="shared" si="36"/>
        <v>-3.4415067245515854</v>
      </c>
      <c r="AB78">
        <f t="shared" si="36"/>
        <v>1</v>
      </c>
      <c r="AC78">
        <v>0</v>
      </c>
      <c r="AD78">
        <f t="shared" si="36"/>
        <v>0.86717621060668737</v>
      </c>
      <c r="AE78">
        <f t="shared" si="36"/>
        <v>0.84384642268233945</v>
      </c>
      <c r="AF78">
        <f t="shared" si="36"/>
        <v>-1.4767229959379933</v>
      </c>
      <c r="AG78">
        <f t="shared" si="36"/>
        <v>-1.0004526304573553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1591-2EF8-1D48-9BF5-FB3C129E138A}">
  <dimension ref="A1:AG29"/>
  <sheetViews>
    <sheetView tabSelected="1" workbookViewId="0">
      <selection activeCell="Y33" sqref="Y33"/>
    </sheetView>
  </sheetViews>
  <sheetFormatPr baseColWidth="10" defaultRowHeight="15"/>
  <cols>
    <col min="1" max="16384" width="10.83203125" style="12"/>
  </cols>
  <sheetData>
    <row r="1" spans="1:33">
      <c r="A1" s="12">
        <v>0.97231833910034604</v>
      </c>
      <c r="B1" s="12">
        <v>-3.3707865168539408E-2</v>
      </c>
      <c r="C1" s="12">
        <v>-1</v>
      </c>
      <c r="D1" s="12">
        <v>-1</v>
      </c>
      <c r="E1" s="12">
        <v>-1</v>
      </c>
      <c r="F1" s="12">
        <v>-1</v>
      </c>
      <c r="G1" s="12">
        <v>-1</v>
      </c>
      <c r="H1" s="12">
        <v>-1</v>
      </c>
      <c r="I1" s="12">
        <v>-1</v>
      </c>
      <c r="J1" s="12">
        <v>-1</v>
      </c>
      <c r="K1" s="12">
        <v>-0.86440677966101698</v>
      </c>
      <c r="L1" s="12">
        <v>6.7961165048543659E-2</v>
      </c>
      <c r="M1" s="12">
        <v>-0.9908563419297699</v>
      </c>
      <c r="N1" s="12">
        <v>-0.60203767050280899</v>
      </c>
      <c r="O1" s="12">
        <v>-1</v>
      </c>
      <c r="P1" s="12">
        <v>-1</v>
      </c>
      <c r="Q1" s="12">
        <v>-1</v>
      </c>
      <c r="R1" s="12">
        <v>-1</v>
      </c>
      <c r="S1" s="12">
        <v>-0.93501663781594901</v>
      </c>
      <c r="T1" s="12">
        <v>-1</v>
      </c>
      <c r="U1" s="12">
        <v>-1</v>
      </c>
      <c r="V1" s="12">
        <v>6.7961165048543659E-2</v>
      </c>
      <c r="W1" s="12">
        <v>-1</v>
      </c>
      <c r="X1" s="12">
        <v>0.98092129797882621</v>
      </c>
      <c r="Y1" s="12">
        <v>-1</v>
      </c>
      <c r="Z1" s="12">
        <v>-1</v>
      </c>
      <c r="AA1" s="12">
        <v>-0.62768566019675442</v>
      </c>
      <c r="AB1" s="12">
        <v>-1</v>
      </c>
      <c r="AC1" s="12">
        <v>0</v>
      </c>
      <c r="AD1" s="12">
        <v>-1</v>
      </c>
      <c r="AE1" s="12">
        <v>-1</v>
      </c>
      <c r="AF1" s="12">
        <v>-1</v>
      </c>
      <c r="AG1" s="12">
        <v>-0.954173154271579</v>
      </c>
    </row>
    <row r="2" spans="1:33">
      <c r="A2" s="12">
        <v>0.97330696984676224</v>
      </c>
      <c r="B2" s="12">
        <v>0.2584269662921348</v>
      </c>
      <c r="C2" s="12">
        <v>-0.96923175550059548</v>
      </c>
      <c r="D2" s="12">
        <v>-0.87606112054329377</v>
      </c>
      <c r="E2" s="12">
        <v>-0.95483453067954305</v>
      </c>
      <c r="F2" s="12">
        <v>-0.93960186803725643</v>
      </c>
      <c r="G2" s="12">
        <v>-0.94921978479431834</v>
      </c>
      <c r="H2" s="12">
        <v>-0.99585017594569281</v>
      </c>
      <c r="I2" s="12">
        <v>-0.74193548387096775</v>
      </c>
      <c r="J2" s="12">
        <v>-0.87606112054329377</v>
      </c>
      <c r="K2" s="12">
        <v>-1</v>
      </c>
      <c r="L2" s="12">
        <v>0.18446601941747565</v>
      </c>
      <c r="M2" s="12">
        <v>-0.98119949122192274</v>
      </c>
      <c r="N2" s="12">
        <v>-0.49642513946875599</v>
      </c>
      <c r="O2" s="12">
        <v>-0.95985787241629628</v>
      </c>
      <c r="P2" s="12">
        <v>-0.98233138462577474</v>
      </c>
      <c r="Q2" s="12">
        <v>-0.9765808908960486</v>
      </c>
      <c r="R2" s="12">
        <v>-0.97989220563847435</v>
      </c>
      <c r="S2" s="12">
        <v>-0.86645881815405312</v>
      </c>
      <c r="T2" s="12">
        <v>-0.95003910832323979</v>
      </c>
      <c r="U2" s="12">
        <v>-0.97371188514231388</v>
      </c>
      <c r="V2" s="12">
        <v>0.18446601941747565</v>
      </c>
      <c r="W2" s="12">
        <v>-0.92320782866380424</v>
      </c>
      <c r="X2" s="12">
        <v>0.92205333580368309</v>
      </c>
      <c r="Y2" s="12">
        <v>-0.91786186414277016</v>
      </c>
      <c r="Z2" s="12">
        <v>-0.94310303313550048</v>
      </c>
      <c r="AA2" s="12">
        <v>-0.42084236237471828</v>
      </c>
      <c r="AB2" s="12">
        <v>-0.859461056449776</v>
      </c>
      <c r="AC2" s="12">
        <v>0</v>
      </c>
      <c r="AD2" s="12">
        <v>-0.95627864945765162</v>
      </c>
      <c r="AE2" s="12">
        <v>-0.93198367647799063</v>
      </c>
      <c r="AF2" s="12">
        <v>-0.83900002129027573</v>
      </c>
      <c r="AG2" s="12">
        <v>-1</v>
      </c>
    </row>
    <row r="3" spans="1:33">
      <c r="A3" s="12">
        <v>0.97429560059317843</v>
      </c>
      <c r="B3" s="12">
        <v>0.2808988764044944</v>
      </c>
      <c r="C3" s="12">
        <v>-0.93950610202546081</v>
      </c>
      <c r="D3" s="12">
        <v>-0.73174872665534807</v>
      </c>
      <c r="E3" s="12">
        <v>-0.90843245789659643</v>
      </c>
      <c r="F3" s="12">
        <v>-0.91527955334081246</v>
      </c>
      <c r="G3" s="12">
        <v>-0.9060588094307015</v>
      </c>
      <c r="H3" s="12">
        <v>-0.99393788224476876</v>
      </c>
      <c r="I3" s="12">
        <v>-0.43369175627240142</v>
      </c>
      <c r="J3" s="12">
        <v>-0.73174872665534807</v>
      </c>
      <c r="K3" s="12">
        <v>-0.96610169491525422</v>
      </c>
      <c r="L3" s="12">
        <v>0.18446601941747565</v>
      </c>
      <c r="M3" s="12">
        <v>-0.98119949122192274</v>
      </c>
      <c r="N3" s="12">
        <v>-0.4156496899054466</v>
      </c>
      <c r="O3" s="12">
        <v>-0.93387756141669109</v>
      </c>
      <c r="P3" s="12">
        <v>-0.94865038556966597</v>
      </c>
      <c r="Q3" s="12">
        <v>-0.86504207963305346</v>
      </c>
      <c r="R3" s="12">
        <v>-0.97183724235963043</v>
      </c>
      <c r="S3" s="12">
        <v>-0.85338394537449269</v>
      </c>
      <c r="T3" s="12">
        <v>-0.92012192502186962</v>
      </c>
      <c r="U3" s="12">
        <v>-0.94348110613842251</v>
      </c>
      <c r="V3" s="12">
        <v>0.18446601941747565</v>
      </c>
      <c r="W3" s="12">
        <v>-0.88987773197577269</v>
      </c>
      <c r="X3" s="12">
        <v>0.9100056295472847</v>
      </c>
      <c r="Y3" s="12">
        <v>-0.84045951704307187</v>
      </c>
      <c r="Z3" s="12">
        <v>-0.899162522949703</v>
      </c>
      <c r="AA3" s="12">
        <v>-0.77208556646695903</v>
      </c>
      <c r="AB3" s="12">
        <v>-0.76086305416846711</v>
      </c>
      <c r="AC3" s="12">
        <v>0</v>
      </c>
      <c r="AD3" s="12">
        <v>-0.88550915485484638</v>
      </c>
      <c r="AE3" s="12">
        <v>-0.93481047138204498</v>
      </c>
      <c r="AF3" s="12">
        <v>-0.85840573150134269</v>
      </c>
      <c r="AG3" s="12">
        <v>-0.98457784851508801</v>
      </c>
    </row>
    <row r="4" spans="1:33">
      <c r="A4" s="12">
        <v>0.97528423133959463</v>
      </c>
      <c r="B4" s="12">
        <v>0.37078651685393238</v>
      </c>
      <c r="C4" s="12">
        <v>-0.8996075943814803</v>
      </c>
      <c r="D4" s="12">
        <v>-0.5857385398981324</v>
      </c>
      <c r="E4" s="12">
        <v>-0.86442507753307418</v>
      </c>
      <c r="F4" s="12">
        <v>-0.84016019202170678</v>
      </c>
      <c r="G4" s="12">
        <v>-0.878350762554716</v>
      </c>
      <c r="H4" s="12">
        <v>-0.99154384703606702</v>
      </c>
      <c r="I4" s="12">
        <v>-0.27598566308243733</v>
      </c>
      <c r="J4" s="12">
        <v>-0.5857385398981324</v>
      </c>
      <c r="K4" s="12">
        <v>-0.84745762711864403</v>
      </c>
      <c r="L4" s="12">
        <v>0.22330097087378631</v>
      </c>
      <c r="M4" s="12">
        <v>-1</v>
      </c>
      <c r="N4" s="12">
        <v>-0.3794583266373025</v>
      </c>
      <c r="O4" s="12">
        <v>-0.88746959412131787</v>
      </c>
      <c r="P4" s="12">
        <v>-0.93232605145252589</v>
      </c>
      <c r="Q4" s="12">
        <v>-0.71559623758575053</v>
      </c>
      <c r="R4" s="12">
        <v>-0.94637921503593148</v>
      </c>
      <c r="S4" s="12">
        <v>-0.77836017294052418</v>
      </c>
      <c r="T4" s="12">
        <v>-0.85874618100208178</v>
      </c>
      <c r="U4" s="12">
        <v>-0.90737493720004514</v>
      </c>
      <c r="V4" s="12">
        <v>0.22330097087378631</v>
      </c>
      <c r="W4" s="12">
        <v>-0.83097608381322718</v>
      </c>
      <c r="X4" s="12">
        <v>1</v>
      </c>
      <c r="Y4" s="12">
        <v>-0.83698368960014657</v>
      </c>
      <c r="Z4" s="12">
        <v>-0.83236232219452178</v>
      </c>
      <c r="AA4" s="12">
        <v>-0.81876490580945327</v>
      </c>
      <c r="AB4" s="12">
        <v>-0.5452718999265006</v>
      </c>
      <c r="AC4" s="12">
        <v>0</v>
      </c>
      <c r="AD4" s="12">
        <v>-0.81542812584657831</v>
      </c>
      <c r="AE4" s="12">
        <v>-0.99797867512115201</v>
      </c>
      <c r="AF4" s="12">
        <v>-0.93645833454974303</v>
      </c>
      <c r="AG4" s="12">
        <v>-0.79616233198992081</v>
      </c>
    </row>
    <row r="5" spans="1:33">
      <c r="A5" s="12">
        <v>0.97627286208601083</v>
      </c>
      <c r="B5" s="12">
        <v>-0.4157303370786517</v>
      </c>
      <c r="C5" s="12">
        <v>-0.872614946503946</v>
      </c>
      <c r="D5" s="12">
        <v>-0.46349745331069614</v>
      </c>
      <c r="E5" s="12">
        <v>-0.77264162053939467</v>
      </c>
      <c r="F5" s="12">
        <v>-0.81348978580187326</v>
      </c>
      <c r="G5" s="12">
        <v>-0.81107691143264415</v>
      </c>
      <c r="H5" s="12">
        <v>-0.99053634702995352</v>
      </c>
      <c r="I5" s="12">
        <v>5.3763440860215006E-2</v>
      </c>
      <c r="J5" s="12">
        <v>-0.46349745331069614</v>
      </c>
      <c r="K5" s="12">
        <v>-0.60169491525423724</v>
      </c>
      <c r="L5" s="12">
        <v>0.24271844660194164</v>
      </c>
      <c r="M5" s="12">
        <v>-0.95360848919950225</v>
      </c>
      <c r="N5" s="12">
        <v>-0.34684182390040241</v>
      </c>
      <c r="O5" s="12">
        <v>-0.84218234612396681</v>
      </c>
      <c r="P5" s="12">
        <v>-0.89027277439176367</v>
      </c>
      <c r="Q5" s="12">
        <v>-0.86463795350528905</v>
      </c>
      <c r="R5" s="12">
        <v>-0.91325120429598039</v>
      </c>
      <c r="S5" s="12">
        <v>-1</v>
      </c>
      <c r="T5" s="12">
        <v>-0.81498420626109247</v>
      </c>
      <c r="U5" s="12">
        <v>-0.87063228772487256</v>
      </c>
      <c r="V5" s="12">
        <v>0.24271844660194164</v>
      </c>
      <c r="W5" s="12">
        <v>-0.81013344950430999</v>
      </c>
      <c r="X5" s="12">
        <v>0.94922955963638356</v>
      </c>
      <c r="Y5" s="12">
        <v>-0.66840601895427632</v>
      </c>
      <c r="Z5" s="12">
        <v>-0.79168954316635054</v>
      </c>
      <c r="AA5" s="12">
        <v>-0.8503618161132469</v>
      </c>
      <c r="AB5" s="12">
        <v>-0.4591825994271489</v>
      </c>
      <c r="AC5" s="12">
        <v>0</v>
      </c>
      <c r="AD5" s="12">
        <v>-0.75672775513466661</v>
      </c>
      <c r="AE5" s="12">
        <v>-0.90402148484212441</v>
      </c>
      <c r="AF5" s="12">
        <v>-0.77373653053103786</v>
      </c>
      <c r="AG5" s="12">
        <v>-0.99347738090850102</v>
      </c>
    </row>
    <row r="6" spans="1:33">
      <c r="A6" s="12">
        <v>0.97726149283242703</v>
      </c>
      <c r="B6" s="12">
        <v>0.84269662921348298</v>
      </c>
      <c r="C6" s="12">
        <v>-0.83212597468764449</v>
      </c>
      <c r="D6" s="12">
        <v>-0.52461799660441422</v>
      </c>
      <c r="E6" s="12">
        <v>-0.70990853060102854</v>
      </c>
      <c r="F6" s="12">
        <v>-0.79407237339873205</v>
      </c>
      <c r="G6" s="12">
        <v>-0.80065722250955562</v>
      </c>
      <c r="H6" s="12">
        <v>-0.98736467832138763</v>
      </c>
      <c r="I6" s="12">
        <v>-0.39784946236559138</v>
      </c>
      <c r="J6" s="12">
        <v>-0.52461799660441422</v>
      </c>
      <c r="K6" s="12">
        <v>-0.4576271186440678</v>
      </c>
      <c r="L6" s="12">
        <v>-0.28155339805825241</v>
      </c>
      <c r="M6" s="12">
        <v>-0.33258520648167822</v>
      </c>
      <c r="N6" s="12">
        <v>-0.21833050733502346</v>
      </c>
      <c r="O6" s="12">
        <v>-0.82776582060849968</v>
      </c>
      <c r="P6" s="12">
        <v>-0.87533452932200095</v>
      </c>
      <c r="Q6" s="12">
        <v>-0.80280665595732426</v>
      </c>
      <c r="R6" s="12">
        <v>-0.85588920476980179</v>
      </c>
      <c r="S6" s="12">
        <v>-0.85187589080980497</v>
      </c>
      <c r="T6" s="12">
        <v>-0.75102108072943941</v>
      </c>
      <c r="U6" s="12">
        <v>-0.83003953753457105</v>
      </c>
      <c r="V6" s="12">
        <v>-0.28155339805825241</v>
      </c>
      <c r="W6" s="12">
        <v>-0.7819211547698226</v>
      </c>
      <c r="X6" s="12">
        <v>0.94861909817977974</v>
      </c>
      <c r="Y6" s="12">
        <v>-0.71605465895921738</v>
      </c>
      <c r="Z6" s="12">
        <v>-0.76987442852116073</v>
      </c>
      <c r="AA6" s="12">
        <v>-0.88667640506495182</v>
      </c>
      <c r="AB6" s="12">
        <v>-0.37750813485084056</v>
      </c>
      <c r="AC6" s="12">
        <v>0</v>
      </c>
      <c r="AD6" s="12">
        <v>-0.63572292615701875</v>
      </c>
      <c r="AE6" s="12">
        <v>-0.70646223898454252</v>
      </c>
      <c r="AF6" s="12">
        <v>-0.28999678032159004</v>
      </c>
      <c r="AG6" s="12">
        <v>-0.95453309060288416</v>
      </c>
    </row>
    <row r="7" spans="1:33">
      <c r="A7" s="12">
        <v>0.97825012357884322</v>
      </c>
      <c r="B7" s="12">
        <v>-0.2808988764044944</v>
      </c>
      <c r="C7" s="12">
        <v>-0.79163700287134287</v>
      </c>
      <c r="D7" s="12">
        <v>-0.47707979626485564</v>
      </c>
      <c r="E7" s="12">
        <v>-0.58081105484238216</v>
      </c>
      <c r="F7" s="12">
        <v>-0.72190117143677113</v>
      </c>
      <c r="G7" s="12">
        <v>-0.74721531921335127</v>
      </c>
      <c r="H7" s="12">
        <v>-0.98209975717293541</v>
      </c>
      <c r="I7" s="12">
        <v>-0.22580645161290325</v>
      </c>
      <c r="J7" s="12">
        <v>-0.47707979626485564</v>
      </c>
      <c r="K7" s="12">
        <v>-0.29661016949152541</v>
      </c>
      <c r="L7" s="12">
        <v>-4.8543689320388328E-2</v>
      </c>
      <c r="M7" s="12">
        <v>-0.94003874816202537</v>
      </c>
      <c r="N7" s="12">
        <v>-0.21199250919132717</v>
      </c>
      <c r="O7" s="12">
        <v>-0.72761426879433522</v>
      </c>
      <c r="P7" s="12">
        <v>-0.82824716551221778</v>
      </c>
      <c r="Q7" s="12">
        <v>-0.79674476404085715</v>
      </c>
      <c r="R7" s="12">
        <v>-0.82507107320540163</v>
      </c>
      <c r="S7" s="12">
        <v>-0.73530635356017626</v>
      </c>
      <c r="T7" s="12">
        <v>-0.670481110288077</v>
      </c>
      <c r="U7" s="12">
        <v>-0.79566154492180829</v>
      </c>
      <c r="V7" s="12">
        <v>-4.8543689320388328E-2</v>
      </c>
      <c r="W7" s="12">
        <v>-0.70501174759716889</v>
      </c>
      <c r="X7" s="12">
        <v>0.9771255104004104</v>
      </c>
      <c r="Y7" s="12">
        <v>-0.65499969135015279</v>
      </c>
      <c r="Z7" s="12">
        <v>-0.6730939735637107</v>
      </c>
      <c r="AA7" s="12">
        <v>-1</v>
      </c>
      <c r="AB7" s="12">
        <v>-0.17074665245496146</v>
      </c>
      <c r="AC7" s="12">
        <v>0</v>
      </c>
      <c r="AD7" s="12">
        <v>-0.61004949338411363</v>
      </c>
      <c r="AE7" s="12">
        <v>-0.73154318508025762</v>
      </c>
      <c r="AF7" s="12">
        <v>-0.30728466756126316</v>
      </c>
      <c r="AG7" s="12">
        <v>-0.98441314084417075</v>
      </c>
    </row>
    <row r="8" spans="1:33">
      <c r="A8" s="12">
        <v>0.97923875432525942</v>
      </c>
      <c r="B8" s="12">
        <v>-0.6404494382022472</v>
      </c>
      <c r="C8" s="12">
        <v>-0.75789619302442501</v>
      </c>
      <c r="D8" s="12">
        <v>-0.4091680814940577</v>
      </c>
      <c r="E8" s="12">
        <v>-0.54316334942880695</v>
      </c>
      <c r="F8" s="12">
        <v>-0.78670197500587025</v>
      </c>
      <c r="G8" s="12">
        <v>-0.74104676245379886</v>
      </c>
      <c r="H8" s="12">
        <v>-0.97548498164736031</v>
      </c>
      <c r="I8" s="12">
        <v>2.5089605734766929E-2</v>
      </c>
      <c r="J8" s="12">
        <v>-0.4091680814940577</v>
      </c>
      <c r="K8" s="12">
        <v>-0.25423728813559321</v>
      </c>
      <c r="L8" s="12">
        <v>0.14563106796116498</v>
      </c>
      <c r="M8" s="12">
        <v>-0.93870514248214176</v>
      </c>
      <c r="N8" s="12">
        <v>-0.17701463069066958</v>
      </c>
      <c r="O8" s="12">
        <v>-0.72348798410616266</v>
      </c>
      <c r="P8" s="12">
        <v>-0.81385027772700691</v>
      </c>
      <c r="Q8" s="12">
        <v>-0.77249719637498859</v>
      </c>
      <c r="R8" s="12">
        <v>-0.79323619995261785</v>
      </c>
      <c r="S8" s="12">
        <v>-0.805678912019134</v>
      </c>
      <c r="T8" s="12">
        <v>-0.6327521274643344</v>
      </c>
      <c r="U8" s="12">
        <v>-0.7561759328590324</v>
      </c>
      <c r="V8" s="12">
        <v>0.14563106796116498</v>
      </c>
      <c r="W8" s="12">
        <v>-0.66359839581631053</v>
      </c>
      <c r="X8" s="12">
        <v>0.8401636131717154</v>
      </c>
      <c r="Y8" s="12">
        <v>-0.62700239035443528</v>
      </c>
      <c r="Z8" s="12">
        <v>-0.61179395075610976</v>
      </c>
      <c r="AA8" s="12">
        <v>-0.80765858297727833</v>
      </c>
      <c r="AB8" s="12">
        <v>-0.10525991959648007</v>
      </c>
      <c r="AC8" s="12">
        <v>0</v>
      </c>
      <c r="AD8" s="12">
        <v>-0.59552434058007098</v>
      </c>
      <c r="AE8" s="12">
        <v>-0.70702868107339334</v>
      </c>
      <c r="AF8" s="12">
        <v>-0.2942887575433355</v>
      </c>
      <c r="AG8" s="12">
        <v>-0.90501615403884705</v>
      </c>
    </row>
    <row r="9" spans="1:33">
      <c r="A9" s="12">
        <v>0.98022738507167584</v>
      </c>
      <c r="B9" s="12">
        <v>0.348314606741573</v>
      </c>
      <c r="C9" s="12">
        <v>-0.69041457333058909</v>
      </c>
      <c r="D9" s="12">
        <v>-0.33616298811544987</v>
      </c>
      <c r="E9" s="12">
        <v>-0.55356652141483131</v>
      </c>
      <c r="F9" s="12">
        <v>-0.79492681781418773</v>
      </c>
      <c r="G9" s="12">
        <v>-0.72382778499615252</v>
      </c>
      <c r="H9" s="12">
        <v>-0.96999753015775203</v>
      </c>
      <c r="I9" s="12">
        <v>0.27598566308243733</v>
      </c>
      <c r="J9" s="12">
        <v>-0.33616298811544987</v>
      </c>
      <c r="K9" s="12">
        <v>-0.15254237288135597</v>
      </c>
      <c r="L9" s="12">
        <v>-0.33980582524271852</v>
      </c>
      <c r="M9" s="12">
        <v>-0.84482461693204614</v>
      </c>
      <c r="N9" s="12">
        <v>-0.1436110026991837</v>
      </c>
      <c r="O9" s="12">
        <v>-0.69580112326638732</v>
      </c>
      <c r="P9" s="12">
        <v>-0.75351949234622639</v>
      </c>
      <c r="Q9" s="12">
        <v>-0.79108699825215445</v>
      </c>
      <c r="R9" s="12">
        <v>-0.76232922688146565</v>
      </c>
      <c r="S9" s="12">
        <v>-0.75940392261944811</v>
      </c>
      <c r="T9" s="12">
        <v>-0.58370385999497976</v>
      </c>
      <c r="U9" s="12">
        <v>-0.7186403535879321</v>
      </c>
      <c r="V9" s="12">
        <v>-0.33980582524271852</v>
      </c>
      <c r="W9" s="12">
        <v>-0.59796798038777421</v>
      </c>
      <c r="X9" s="12">
        <v>0.8126049601774854</v>
      </c>
      <c r="Y9" s="12">
        <v>-0.48797246831590901</v>
      </c>
      <c r="Z9" s="12">
        <v>-0.49160752441384847</v>
      </c>
      <c r="AA9" s="12">
        <v>-0.51491380401093467</v>
      </c>
      <c r="AB9" s="12">
        <v>-0.22151726556996387</v>
      </c>
      <c r="AC9" s="12">
        <v>0</v>
      </c>
      <c r="AD9" s="12">
        <v>-0.52257922789034594</v>
      </c>
      <c r="AE9" s="12">
        <v>-0.66018892802442575</v>
      </c>
      <c r="AF9" s="12">
        <v>-0.30891203005493406</v>
      </c>
      <c r="AG9" s="12">
        <v>-0.94206446534045396</v>
      </c>
    </row>
    <row r="10" spans="1:33">
      <c r="A10" s="12">
        <v>0.98121601581809204</v>
      </c>
      <c r="B10" s="12">
        <v>-3.3707865168539408E-2</v>
      </c>
      <c r="C10" s="12">
        <v>-0.62630703462144499</v>
      </c>
      <c r="D10" s="12">
        <v>-0.25297113752122236</v>
      </c>
      <c r="E10" s="12">
        <v>-0.53623444431358691</v>
      </c>
      <c r="F10" s="12">
        <v>-8.8790471966396223E-2</v>
      </c>
      <c r="G10" s="12">
        <v>-0.64605224982024145</v>
      </c>
      <c r="H10" s="12">
        <v>-0.96213805195472124</v>
      </c>
      <c r="I10" s="12">
        <v>0.39068100358422941</v>
      </c>
      <c r="J10" s="12">
        <v>-0.25297113752122236</v>
      </c>
      <c r="K10" s="12">
        <v>-0.21186440677966101</v>
      </c>
      <c r="L10" s="12">
        <v>-0.18446601941747576</v>
      </c>
      <c r="M10" s="12">
        <v>-0.85756520127801528</v>
      </c>
      <c r="N10" s="12">
        <v>-0.11599110548462321</v>
      </c>
      <c r="O10" s="12">
        <v>-0.59307701124539935</v>
      </c>
      <c r="P10" s="12">
        <v>-0.71695589974920693</v>
      </c>
      <c r="Q10" s="12">
        <v>-0.79149112437991898</v>
      </c>
      <c r="R10" s="12">
        <v>-0.74056305772723685</v>
      </c>
      <c r="S10" s="12">
        <v>-0.65365550924329408</v>
      </c>
      <c r="T10" s="12">
        <v>-0.52091762408316533</v>
      </c>
      <c r="U10" s="12">
        <v>-0.66293425761300528</v>
      </c>
      <c r="V10" s="12">
        <v>-0.18446601941747576</v>
      </c>
      <c r="W10" s="12">
        <v>-0.50492690774416504</v>
      </c>
      <c r="X10" s="12">
        <v>0.82980239576430037</v>
      </c>
      <c r="Y10" s="12">
        <v>-0.4172839354403961</v>
      </c>
      <c r="Z10" s="12">
        <v>-0.40974850198131796</v>
      </c>
      <c r="AA10" s="12">
        <v>-0.21371778678924969</v>
      </c>
      <c r="AB10" s="12">
        <v>-0.26787304276192248</v>
      </c>
      <c r="AC10" s="12">
        <v>0</v>
      </c>
      <c r="AD10" s="12">
        <v>-0.41232888553244884</v>
      </c>
      <c r="AE10" s="12">
        <v>-0.5022643066023289</v>
      </c>
      <c r="AF10" s="12">
        <v>-8.5408522457467217E-2</v>
      </c>
      <c r="AG10" s="12">
        <v>-0.91679023197895892</v>
      </c>
    </row>
    <row r="11" spans="1:33">
      <c r="A11" s="12">
        <v>0.98220464656450823</v>
      </c>
      <c r="B11" s="12">
        <v>-0.66292134831460681</v>
      </c>
      <c r="C11" s="12">
        <v>-0.59256622477452703</v>
      </c>
      <c r="D11" s="12">
        <v>-8.9983022071307261E-2</v>
      </c>
      <c r="E11" s="12">
        <v>-0.70154673575943161</v>
      </c>
      <c r="F11" s="12">
        <v>-0.53192099976519081</v>
      </c>
      <c r="G11" s="12">
        <v>-0.48852698901265246</v>
      </c>
      <c r="H11" s="12">
        <v>-0.95641339779377066</v>
      </c>
      <c r="I11" s="12">
        <v>0.87813620071684584</v>
      </c>
      <c r="J11" s="12">
        <v>-8.9983022071307261E-2</v>
      </c>
      <c r="K11" s="12">
        <v>-0.28813559322033899</v>
      </c>
      <c r="L11" s="12">
        <v>-0.14563106796116498</v>
      </c>
      <c r="M11" s="12">
        <v>-0.7834870367572847</v>
      </c>
      <c r="N11" s="12">
        <v>-4.6786397163725346E-2</v>
      </c>
      <c r="O11" s="12">
        <v>-0.53561467632862547</v>
      </c>
      <c r="P11" s="12">
        <v>-0.69097396607458617</v>
      </c>
      <c r="Q11" s="12">
        <v>-0.56518049283181282</v>
      </c>
      <c r="R11" s="12">
        <v>-0.70310155571349608</v>
      </c>
      <c r="S11" s="12">
        <v>-0.65547425750906629</v>
      </c>
      <c r="T11" s="12">
        <v>-0.50984975316559833</v>
      </c>
      <c r="U11" s="12">
        <v>-0.61225973507883902</v>
      </c>
      <c r="V11" s="12">
        <v>-0.14563106796116498</v>
      </c>
      <c r="W11" s="12">
        <v>-0.37575197703297136</v>
      </c>
      <c r="X11" s="12">
        <v>0.82465741710669782</v>
      </c>
      <c r="Y11" s="12">
        <v>-0.37018976992255437</v>
      </c>
      <c r="Z11" s="12">
        <v>-0.29152223372781272</v>
      </c>
      <c r="AA11" s="12">
        <v>-0.33776207736939656</v>
      </c>
      <c r="AB11" s="12">
        <v>-0.15897375666017832</v>
      </c>
      <c r="AC11" s="12">
        <v>0</v>
      </c>
      <c r="AD11" s="12">
        <v>-0.33336041233111402</v>
      </c>
      <c r="AE11" s="12">
        <v>-0.15253714912366723</v>
      </c>
      <c r="AF11" s="12">
        <v>0.34998478096729446</v>
      </c>
      <c r="AG11" s="12">
        <v>-0.70273885680275394</v>
      </c>
    </row>
    <row r="12" spans="1:33">
      <c r="A12" s="12">
        <v>0.98319327731092443</v>
      </c>
      <c r="B12" s="12">
        <v>1.1235955056179803E-2</v>
      </c>
      <c r="C12" s="12">
        <v>-0.48459563326438959</v>
      </c>
      <c r="D12" s="12">
        <v>-2.5466893039049254E-2</v>
      </c>
      <c r="E12" s="12">
        <v>-0.63793035763357286</v>
      </c>
      <c r="F12" s="12">
        <v>-0.41917999426022068</v>
      </c>
      <c r="G12" s="12">
        <v>-0.31822940976120495</v>
      </c>
      <c r="H12" s="12">
        <v>-0.5357038928137372</v>
      </c>
      <c r="I12" s="12">
        <v>0.7060931899641576</v>
      </c>
      <c r="J12" s="12">
        <v>-2.5466893039049254E-2</v>
      </c>
      <c r="K12" s="12">
        <v>-0.27966101694915257</v>
      </c>
      <c r="L12" s="12">
        <v>0.63106796116504849</v>
      </c>
      <c r="M12" s="12">
        <v>-0.45427345281138509</v>
      </c>
      <c r="N12" s="12">
        <v>-2.1613147615502371E-3</v>
      </c>
      <c r="O12" s="12">
        <v>-0.37672724494084386</v>
      </c>
      <c r="P12" s="12">
        <v>-0.64286177540533451</v>
      </c>
      <c r="Q12" s="12">
        <v>-0.52274724941654283</v>
      </c>
      <c r="R12" s="12">
        <v>-0.69090065545289425</v>
      </c>
      <c r="S12" s="12">
        <v>-0.45657815339334373</v>
      </c>
      <c r="T12" s="12">
        <v>-0.42453874357338672</v>
      </c>
      <c r="U12" s="12">
        <v>-0.49058386533703635</v>
      </c>
      <c r="V12" s="12">
        <v>0.63106796116504849</v>
      </c>
      <c r="W12" s="12">
        <v>-0.21809044991610005</v>
      </c>
      <c r="X12" s="12">
        <v>0.79283741059827606</v>
      </c>
      <c r="Y12" s="12">
        <v>-9.9349131003987123E-2</v>
      </c>
      <c r="Z12" s="12">
        <v>-0.16917594283767967</v>
      </c>
      <c r="AA12" s="12">
        <v>-0.29554487030315379</v>
      </c>
      <c r="AB12" s="12">
        <v>-1.7699007122780497E-2</v>
      </c>
      <c r="AC12" s="12">
        <v>0</v>
      </c>
      <c r="AD12" s="12">
        <v>-0.21379078767100601</v>
      </c>
      <c r="AE12" s="12">
        <v>0.13539606597084486</v>
      </c>
      <c r="AF12" s="12">
        <v>0.48450303059429789</v>
      </c>
      <c r="AG12" s="12">
        <v>-0.85707233468974597</v>
      </c>
    </row>
    <row r="13" spans="1:33">
      <c r="A13" s="12">
        <v>0.98418190805734063</v>
      </c>
      <c r="B13" s="12">
        <v>0.2808988764044944</v>
      </c>
      <c r="C13" s="12">
        <v>-0.37662504175425215</v>
      </c>
      <c r="D13" s="12">
        <v>-0.10865874363327677</v>
      </c>
      <c r="E13" s="12">
        <v>-0.47246103717661836</v>
      </c>
      <c r="F13" s="12">
        <v>-0.33878394948994239</v>
      </c>
      <c r="G13" s="12">
        <v>-0.23623427901050797</v>
      </c>
      <c r="H13" s="12">
        <v>-0.49413229061973474</v>
      </c>
      <c r="I13" s="12">
        <v>0.4623655913978495</v>
      </c>
      <c r="J13" s="12">
        <v>-0.10865874363327677</v>
      </c>
      <c r="K13" s="12">
        <v>0.13559322033898313</v>
      </c>
      <c r="L13" s="12">
        <v>0.61165048543689315</v>
      </c>
      <c r="M13" s="12">
        <v>-0.10678525478358991</v>
      </c>
      <c r="N13" s="12">
        <v>0.19248000209900074</v>
      </c>
      <c r="O13" s="12">
        <v>-0.15398428445893453</v>
      </c>
      <c r="P13" s="12">
        <v>-0.61758521419256562</v>
      </c>
      <c r="Q13" s="12">
        <v>-0.50173269077279015</v>
      </c>
      <c r="R13" s="12">
        <v>-0.65926320777067038</v>
      </c>
      <c r="S13" s="12">
        <v>-0.43060249425115116</v>
      </c>
      <c r="T13" s="12">
        <v>-0.27226795635476164</v>
      </c>
      <c r="U13" s="12">
        <v>-0.38802650788982229</v>
      </c>
      <c r="V13" s="12">
        <v>0.61165048543689315</v>
      </c>
      <c r="W13" s="12">
        <v>-2.8586537964414904E-2</v>
      </c>
      <c r="X13" s="12">
        <v>0.8143413310910157</v>
      </c>
      <c r="Y13" s="12">
        <v>0.14487871317454371</v>
      </c>
      <c r="Z13" s="12">
        <v>-8.9260446818317796E-2</v>
      </c>
      <c r="AA13" s="12">
        <v>-4.7774655159221746E-3</v>
      </c>
      <c r="AB13" s="12">
        <v>-1.5112754049535493E-3</v>
      </c>
      <c r="AC13" s="12">
        <v>0</v>
      </c>
      <c r="AD13" s="12">
        <v>-0.10174398945188978</v>
      </c>
      <c r="AE13" s="12">
        <v>0.29659547009135467</v>
      </c>
      <c r="AF13" s="12">
        <v>0.58593232753731783</v>
      </c>
      <c r="AG13" s="12">
        <v>-0.78494679114755428</v>
      </c>
    </row>
    <row r="14" spans="1:33">
      <c r="A14" s="12">
        <v>0.98517053880375682</v>
      </c>
      <c r="B14" s="12">
        <v>0.21348314606741581</v>
      </c>
      <c r="C14" s="12">
        <v>-0.2787766931981901</v>
      </c>
      <c r="D14" s="12">
        <v>-3.5653650254668934E-2</v>
      </c>
      <c r="E14" s="12">
        <v>-0.55525458328426169</v>
      </c>
      <c r="F14" s="12">
        <v>-0.32189073547444491</v>
      </c>
      <c r="G14" s="12">
        <v>-0.12900987725959656</v>
      </c>
      <c r="H14" s="12">
        <v>-0.40365292113867068</v>
      </c>
      <c r="I14" s="12">
        <v>-1.0752688172043001E-2</v>
      </c>
      <c r="J14" s="12">
        <v>-3.5653650254668934E-2</v>
      </c>
      <c r="K14" s="12">
        <v>0.33898305084745761</v>
      </c>
      <c r="L14" s="12">
        <v>0.78640776699029091</v>
      </c>
      <c r="M14" s="12">
        <v>-2.324148211578847E-2</v>
      </c>
      <c r="N14" s="12">
        <v>0.23099174502389253</v>
      </c>
      <c r="O14" s="12">
        <v>-0.14058659466894208</v>
      </c>
      <c r="P14" s="12">
        <v>-0.52247249127798367</v>
      </c>
      <c r="Q14" s="12">
        <v>-0.5086028349447862</v>
      </c>
      <c r="R14" s="12">
        <v>-0.6324232014530522</v>
      </c>
      <c r="S14" s="12">
        <v>-0.37763433521742729</v>
      </c>
      <c r="T14" s="12">
        <v>-0.10156823613899335</v>
      </c>
      <c r="U14" s="12">
        <v>-0.30046175349719895</v>
      </c>
      <c r="V14" s="12">
        <v>0.78640776699029091</v>
      </c>
      <c r="W14" s="12">
        <v>-7.3812738512060716E-2</v>
      </c>
      <c r="X14" s="12">
        <v>0.8408999674578912</v>
      </c>
      <c r="Y14" s="12">
        <v>0.30583775968365523</v>
      </c>
      <c r="Z14" s="12">
        <v>2.4847894136981186E-3</v>
      </c>
      <c r="AA14" s="12">
        <v>0.29628848222076987</v>
      </c>
      <c r="AB14" s="12">
        <v>-0.22291529694559431</v>
      </c>
      <c r="AC14" s="12">
        <v>0</v>
      </c>
      <c r="AD14" s="12">
        <v>-6.8830576354662498E-2</v>
      </c>
      <c r="AE14" s="12">
        <v>0.61007947722732458</v>
      </c>
      <c r="AF14" s="12">
        <v>0.65919964018539123</v>
      </c>
      <c r="AG14" s="12">
        <v>-0.89075934985143745</v>
      </c>
    </row>
    <row r="15" spans="1:33">
      <c r="A15" s="12">
        <v>0.98615916955017302</v>
      </c>
      <c r="B15" s="12">
        <v>-0.25842696629213491</v>
      </c>
      <c r="C15" s="12">
        <v>-0.25178404532065579</v>
      </c>
      <c r="D15" s="12">
        <v>0.1069609507640068</v>
      </c>
      <c r="E15" s="12">
        <v>-0.65422211753621484</v>
      </c>
      <c r="F15" s="12">
        <v>-0.36147564507292129</v>
      </c>
      <c r="G15" s="12">
        <v>-0.22992696126045442</v>
      </c>
      <c r="H15" s="12">
        <v>-0.32540049347937194</v>
      </c>
      <c r="I15" s="12">
        <v>7.5268817204301008E-2</v>
      </c>
      <c r="J15" s="12">
        <v>0.1069609507640068</v>
      </c>
      <c r="K15" s="12">
        <v>8.4745762711864403E-2</v>
      </c>
      <c r="L15" s="12">
        <v>-0.61165048543689315</v>
      </c>
      <c r="M15" s="12">
        <v>-0.33662054593101698</v>
      </c>
      <c r="N15" s="12">
        <v>0.13407694805301285</v>
      </c>
      <c r="O15" s="12">
        <v>-0.28118592478445259</v>
      </c>
      <c r="P15" s="12">
        <v>-0.45682997254085778</v>
      </c>
      <c r="Q15" s="12">
        <v>-0.38898150112650154</v>
      </c>
      <c r="R15" s="12">
        <v>-0.58036207849640686</v>
      </c>
      <c r="S15" s="12">
        <v>-0.40148387279282127</v>
      </c>
      <c r="T15" s="12">
        <v>-6.6349814344881519E-2</v>
      </c>
      <c r="U15" s="12">
        <v>-0.26763707785336699</v>
      </c>
      <c r="V15" s="12">
        <v>-0.61165048543689315</v>
      </c>
      <c r="W15" s="12">
        <v>2.4817022425089874E-3</v>
      </c>
      <c r="X15" s="12">
        <v>0.8382657193825076</v>
      </c>
      <c r="Y15" s="12">
        <v>0.48243209672012211</v>
      </c>
      <c r="Z15" s="12">
        <v>0.18520929459786317</v>
      </c>
      <c r="AA15" s="12">
        <v>-0.19008543906012343</v>
      </c>
      <c r="AB15" s="12">
        <v>4.0503246462678666E-2</v>
      </c>
      <c r="AC15" s="12">
        <v>0</v>
      </c>
      <c r="AD15" s="12">
        <v>-0.26726823489492824</v>
      </c>
      <c r="AE15" s="12">
        <v>9.2260897664398156E-2</v>
      </c>
      <c r="AF15" s="12">
        <v>0.22736912532295173</v>
      </c>
      <c r="AG15" s="12">
        <v>-0.90641411819334461</v>
      </c>
    </row>
    <row r="16" spans="1:33">
      <c r="A16" s="12">
        <v>0.98714780029658922</v>
      </c>
      <c r="B16" s="12">
        <v>-1.1235955056179692E-2</v>
      </c>
      <c r="C16" s="12">
        <v>-0.19779874956558707</v>
      </c>
      <c r="D16" s="12">
        <v>0.30560271646859083</v>
      </c>
      <c r="E16" s="12">
        <v>-0.58520786715345663</v>
      </c>
      <c r="F16" s="12">
        <v>-0.23957708262673172</v>
      </c>
      <c r="G16" s="12">
        <v>-6.5936699759060469E-2</v>
      </c>
      <c r="H16" s="12">
        <v>-0.31806432838631271</v>
      </c>
      <c r="I16" s="12">
        <v>0.28315412186379918</v>
      </c>
      <c r="J16" s="12">
        <v>0.30560271646859083</v>
      </c>
      <c r="K16" s="12">
        <v>0.16949152542372881</v>
      </c>
      <c r="L16" s="12">
        <v>-0.53398058252427183</v>
      </c>
      <c r="M16" s="12">
        <v>0.10527837408818641</v>
      </c>
      <c r="N16" s="12">
        <v>0.23815950437346478</v>
      </c>
      <c r="O16" s="12">
        <v>-0.18533895391041888</v>
      </c>
      <c r="P16" s="12">
        <v>-0.36217284734099775</v>
      </c>
      <c r="Q16" s="12">
        <v>-0.37604946503803838</v>
      </c>
      <c r="R16" s="12">
        <v>-0.51369146331832893</v>
      </c>
      <c r="S16" s="12">
        <v>-0.39908043102165758</v>
      </c>
      <c r="T16" s="12">
        <v>-4.7624596251321205E-2</v>
      </c>
      <c r="U16" s="12">
        <v>-0.20641260907212422</v>
      </c>
      <c r="V16" s="12">
        <v>-0.53398058252427183</v>
      </c>
      <c r="W16" s="12">
        <v>7.2310858095497199E-2</v>
      </c>
      <c r="X16" s="12">
        <v>0.91738342442748455</v>
      </c>
      <c r="Y16" s="12">
        <v>0.481536458146542</v>
      </c>
      <c r="Z16" s="12">
        <v>0.24140884953745334</v>
      </c>
      <c r="AA16" s="12">
        <v>-8.4176122021530575E-2</v>
      </c>
      <c r="AB16" s="12">
        <v>-3.6829962789303061E-2</v>
      </c>
      <c r="AC16" s="12">
        <v>0</v>
      </c>
      <c r="AD16" s="12">
        <v>-0.13701288777560883</v>
      </c>
      <c r="AE16" s="12">
        <v>0.41601448437091681</v>
      </c>
      <c r="AF16" s="12">
        <v>0.53603613642981629</v>
      </c>
      <c r="AG16" s="12">
        <v>1</v>
      </c>
    </row>
    <row r="17" spans="1:33">
      <c r="A17" s="12">
        <v>0.98813643104300541</v>
      </c>
      <c r="B17" s="12">
        <v>-7.8651685393258508E-2</v>
      </c>
      <c r="C17" s="12">
        <v>-0.12019488691767577</v>
      </c>
      <c r="D17" s="12">
        <v>0.24957555178268254</v>
      </c>
      <c r="E17" s="12">
        <v>-0.48313900993208492</v>
      </c>
      <c r="F17" s="12">
        <v>-0.13772861279970783</v>
      </c>
      <c r="G17" s="12">
        <v>7.9131608492172711E-2</v>
      </c>
      <c r="H17" s="12">
        <v>-0.27160194946360405</v>
      </c>
      <c r="I17" s="12">
        <v>0.31899641577060933</v>
      </c>
      <c r="J17" s="12">
        <v>0.24957555178268254</v>
      </c>
      <c r="K17" s="12">
        <v>0.25423728813559321</v>
      </c>
      <c r="L17" s="12">
        <v>0.16504854368932032</v>
      </c>
      <c r="M17" s="12">
        <v>9.5560480582832286E-2</v>
      </c>
      <c r="N17" s="12">
        <v>0.28705146159320716</v>
      </c>
      <c r="O17" s="12">
        <v>-0.10227837139109286</v>
      </c>
      <c r="P17" s="12">
        <v>-0.31381516990310776</v>
      </c>
      <c r="Q17" s="12">
        <v>-0.33846573515594214</v>
      </c>
      <c r="R17" s="12">
        <v>-0.40615375503435203</v>
      </c>
      <c r="S17" s="12">
        <v>-0.31606924984838702</v>
      </c>
      <c r="T17" s="12">
        <v>-1.2658548319265384E-3</v>
      </c>
      <c r="U17" s="12">
        <v>-0.12806466063757638</v>
      </c>
      <c r="V17" s="12">
        <v>0.16504854368932032</v>
      </c>
      <c r="W17" s="12">
        <v>8.2670597523784251E-2</v>
      </c>
      <c r="X17" s="12">
        <v>0.75333081547674197</v>
      </c>
      <c r="Y17" s="12">
        <v>0.56270690258643086</v>
      </c>
      <c r="Z17" s="12">
        <v>0.26977367152335674</v>
      </c>
      <c r="AA17" s="12">
        <v>0.3200809326107843</v>
      </c>
      <c r="AB17" s="12">
        <v>-0.19429244404452772</v>
      </c>
      <c r="AC17" s="12">
        <v>0</v>
      </c>
      <c r="AD17" s="12">
        <v>-6.4835273254495895E-2</v>
      </c>
      <c r="AE17" s="12">
        <v>0.90499827348860951</v>
      </c>
      <c r="AF17" s="12">
        <v>0.62940815243115167</v>
      </c>
      <c r="AG17" s="12">
        <v>-0.38102483192728198</v>
      </c>
    </row>
    <row r="18" spans="1:33">
      <c r="A18" s="12">
        <v>0.98912506178942161</v>
      </c>
      <c r="B18" s="12">
        <v>-0.21348314606741581</v>
      </c>
      <c r="C18" s="12">
        <v>-5.2713267223839955E-2</v>
      </c>
      <c r="D18" s="12">
        <v>0.38030560271646863</v>
      </c>
      <c r="E18" s="12">
        <v>-0.46121383425587881</v>
      </c>
      <c r="F18" s="12">
        <v>-3.8495656030681724E-2</v>
      </c>
      <c r="G18" s="12">
        <v>0.1737413747429768</v>
      </c>
      <c r="H18" s="12">
        <v>-0.21780340544783616</v>
      </c>
      <c r="I18" s="12">
        <v>0.45519713261648742</v>
      </c>
      <c r="J18" s="12">
        <v>0.38030560271646863</v>
      </c>
      <c r="K18" s="12">
        <v>0.33898305084745761</v>
      </c>
      <c r="L18" s="12">
        <v>-0.33980582524271852</v>
      </c>
      <c r="M18" s="12">
        <v>0.6637032649574961</v>
      </c>
      <c r="N18" s="12">
        <v>0.28836169717323634</v>
      </c>
      <c r="O18" s="12">
        <v>-5.9971217890755324E-2</v>
      </c>
      <c r="P18" s="12">
        <v>-0.40023187243692782</v>
      </c>
      <c r="Q18" s="12">
        <v>-0.29482011335737879</v>
      </c>
      <c r="R18" s="12">
        <v>-0.33723248835189135</v>
      </c>
      <c r="S18" s="12">
        <v>-0.26642893326704387</v>
      </c>
      <c r="T18" s="12">
        <v>3.9147432319365016E-2</v>
      </c>
      <c r="U18" s="12">
        <v>-5.6083853044641585E-2</v>
      </c>
      <c r="V18" s="12">
        <v>-0.33980582524271852</v>
      </c>
      <c r="W18" s="12">
        <v>9.1118444764534345E-2</v>
      </c>
      <c r="X18" s="12">
        <v>0.77396536284451289</v>
      </c>
      <c r="Y18" s="12">
        <v>0.604110994359363</v>
      </c>
      <c r="Z18" s="12">
        <v>0.38613483587902686</v>
      </c>
      <c r="AA18" s="12">
        <v>0.33530110938480373</v>
      </c>
      <c r="AB18" s="12">
        <v>-0.10746733755800197</v>
      </c>
      <c r="AC18" s="12">
        <v>0</v>
      </c>
      <c r="AD18" s="12">
        <v>-4.9419245688966718E-2</v>
      </c>
      <c r="AE18" s="12">
        <v>1</v>
      </c>
      <c r="AF18" s="12">
        <v>0.74951968895496246</v>
      </c>
      <c r="AG18" s="12">
        <v>-0.61913856663211164</v>
      </c>
    </row>
    <row r="19" spans="1:33">
      <c r="A19" s="12">
        <v>0.99011369253583781</v>
      </c>
      <c r="B19" s="12">
        <v>-0.2359550561797753</v>
      </c>
      <c r="C19" s="12">
        <v>3.5012838378146727E-2</v>
      </c>
      <c r="D19" s="12">
        <v>0.63327674023769109</v>
      </c>
      <c r="E19" s="12">
        <v>-0.46594433321556161</v>
      </c>
      <c r="F19" s="12">
        <v>2.5405045787784797E-2</v>
      </c>
      <c r="G19" s="12">
        <v>0.16743405699292313</v>
      </c>
      <c r="H19" s="12">
        <v>-0.16155947306771523</v>
      </c>
      <c r="I19" s="12">
        <v>0.51971326164874543</v>
      </c>
      <c r="J19" s="12">
        <v>0.63327674023769109</v>
      </c>
      <c r="K19" s="12">
        <v>0.53389830508474567</v>
      </c>
      <c r="L19" s="12">
        <v>-0.41747572815533984</v>
      </c>
      <c r="M19" s="12">
        <v>9.3596026018314848E-2</v>
      </c>
      <c r="N19" s="12">
        <v>0.33273916308907303</v>
      </c>
      <c r="O19" s="12">
        <v>-0.15729550056672736</v>
      </c>
      <c r="P19" s="12">
        <v>-0.29403686911106452</v>
      </c>
      <c r="Q19" s="12">
        <v>-0.21924852746542201</v>
      </c>
      <c r="R19" s="12">
        <v>-0.25146094922214324</v>
      </c>
      <c r="S19" s="12">
        <v>-0.29083311125116784</v>
      </c>
      <c r="T19" s="12">
        <v>0.10436965821064792</v>
      </c>
      <c r="U19" s="12">
        <v>3.5757947918128474E-2</v>
      </c>
      <c r="V19" s="12">
        <v>-0.41747572815533984</v>
      </c>
      <c r="W19" s="12">
        <v>0.1187148452824216</v>
      </c>
      <c r="X19" s="12">
        <v>0.86266992562821709</v>
      </c>
      <c r="Y19" s="12">
        <v>0.56401197593650476</v>
      </c>
      <c r="Z19" s="12">
        <v>0.35209540691909114</v>
      </c>
      <c r="AA19" s="12">
        <v>0.30864095146732806</v>
      </c>
      <c r="AB19" s="12">
        <v>-5.3827081093021367E-2</v>
      </c>
      <c r="AC19" s="12">
        <v>0</v>
      </c>
      <c r="AD19" s="12">
        <v>2.2245462740607236E-2</v>
      </c>
      <c r="AE19" s="12">
        <v>0.99291178817384229</v>
      </c>
      <c r="AF19" s="12">
        <v>1</v>
      </c>
      <c r="AG19" s="12">
        <v>-0.81974649411576628</v>
      </c>
    </row>
    <row r="20" spans="1:33">
      <c r="A20" s="12">
        <v>0.99110232328225401</v>
      </c>
      <c r="B20" s="12">
        <v>-0.1460674157303371</v>
      </c>
      <c r="C20" s="12">
        <v>0.11261670102605792</v>
      </c>
      <c r="D20" s="12">
        <v>0.70967741935483875</v>
      </c>
      <c r="E20" s="12">
        <v>-0.4457464766615632</v>
      </c>
      <c r="F20" s="12">
        <v>0.10280727386574129</v>
      </c>
      <c r="G20" s="12">
        <v>0.26835114099378088</v>
      </c>
      <c r="H20" s="12">
        <v>-9.5533987230181916E-2</v>
      </c>
      <c r="I20" s="12">
        <v>0.46953405017921157</v>
      </c>
      <c r="J20" s="12">
        <v>0.70967741935483875</v>
      </c>
      <c r="K20" s="12">
        <v>0.70338983050847448</v>
      </c>
      <c r="L20" s="12">
        <v>-0.47572815533980584</v>
      </c>
      <c r="M20" s="12">
        <v>0.48014514520151086</v>
      </c>
      <c r="N20" s="12">
        <v>0.40789486630349581</v>
      </c>
      <c r="O20" s="12">
        <v>-6.1856063982883569E-2</v>
      </c>
      <c r="P20" s="12">
        <v>-0.17815425037828014</v>
      </c>
      <c r="Q20" s="12">
        <v>-0.12670364420735714</v>
      </c>
      <c r="R20" s="12">
        <v>-0.15746663507857539</v>
      </c>
      <c r="S20" s="12">
        <v>-0.26291621067841986</v>
      </c>
      <c r="T20" s="12">
        <v>0.1464816465813974</v>
      </c>
      <c r="U20" s="12">
        <v>0.13220305406903021</v>
      </c>
      <c r="V20" s="12">
        <v>-0.47572815533980584</v>
      </c>
      <c r="W20" s="12">
        <v>0.1052902195024592</v>
      </c>
      <c r="X20" s="12">
        <v>0.72365098707104392</v>
      </c>
      <c r="Y20" s="12">
        <v>0.47117264036654372</v>
      </c>
      <c r="Z20" s="12">
        <v>0.40603001918935733</v>
      </c>
      <c r="AA20" s="12">
        <v>0.3229911632176472</v>
      </c>
      <c r="AB20" s="12">
        <v>-5.6917466239151726E-2</v>
      </c>
      <c r="AC20" s="12">
        <v>0</v>
      </c>
      <c r="AD20" s="12">
        <v>7.6428101801899517E-2</v>
      </c>
      <c r="AE20" s="12">
        <v>0.79521339026468318</v>
      </c>
      <c r="AF20" s="12">
        <v>0.56276509748687453</v>
      </c>
      <c r="AG20" s="12">
        <v>-0.92722572053950048</v>
      </c>
    </row>
    <row r="21" spans="1:33">
      <c r="A21" s="12">
        <v>0.9920909540286702</v>
      </c>
      <c r="B21" s="12">
        <v>-0.1685393258426966</v>
      </c>
      <c r="C21" s="12">
        <v>0.18347240170458567</v>
      </c>
      <c r="D21" s="12">
        <v>0.8607809847198642</v>
      </c>
      <c r="E21" s="12">
        <v>-0.41200486789934443</v>
      </c>
      <c r="F21" s="12">
        <v>0.14513814605129283</v>
      </c>
      <c r="G21" s="12">
        <v>0.24312186999356644</v>
      </c>
      <c r="H21" s="12">
        <v>2.2815473439414813E-3</v>
      </c>
      <c r="I21" s="12">
        <v>0.57706093189964158</v>
      </c>
      <c r="J21" s="12">
        <v>0.8607809847198642</v>
      </c>
      <c r="K21" s="12">
        <v>0.70338983050847448</v>
      </c>
      <c r="L21" s="12">
        <v>-0.84466019417475735</v>
      </c>
      <c r="M21" s="12">
        <v>-4.7565716065412711E-2</v>
      </c>
      <c r="N21" s="12">
        <v>0.59306280275625034</v>
      </c>
      <c r="O21" s="12">
        <v>8.8091083913857338E-2</v>
      </c>
      <c r="P21" s="12">
        <v>-6.1006677990503189E-2</v>
      </c>
      <c r="Q21" s="12">
        <v>2.1206518554440779E-2</v>
      </c>
      <c r="R21" s="12">
        <v>-3.4322435441838439E-2</v>
      </c>
      <c r="S21" s="12">
        <v>-0.25219316277630477</v>
      </c>
      <c r="T21" s="12">
        <v>0.18373455937090677</v>
      </c>
      <c r="U21" s="12">
        <v>0.32861074209598451</v>
      </c>
      <c r="V21" s="12">
        <v>-0.84466019417475735</v>
      </c>
      <c r="W21" s="12">
        <v>0.19139916973993443</v>
      </c>
      <c r="X21" s="12">
        <v>0.68652685436574945</v>
      </c>
      <c r="Y21" s="12">
        <v>0.3980629430888758</v>
      </c>
      <c r="Z21" s="12">
        <v>0.33312895106784279</v>
      </c>
      <c r="AA21" s="12">
        <v>-0.13273592265411793</v>
      </c>
      <c r="AB21" s="12">
        <v>0.27456313098271146</v>
      </c>
      <c r="AC21" s="12">
        <v>0</v>
      </c>
      <c r="AD21" s="12">
        <v>0.15546925082103336</v>
      </c>
      <c r="AE21" s="12">
        <v>1.0444591374715317E-2</v>
      </c>
      <c r="AF21" s="12">
        <v>0.86285634943445366</v>
      </c>
      <c r="AG21" s="12">
        <v>-0.93383339080422378</v>
      </c>
    </row>
    <row r="22" spans="1:33">
      <c r="A22" s="12">
        <v>0.9930795847750864</v>
      </c>
      <c r="B22" s="12">
        <v>-0.12359550561797761</v>
      </c>
      <c r="C22" s="12">
        <v>0.27457258829126419</v>
      </c>
      <c r="D22" s="12">
        <v>0.79966044142614612</v>
      </c>
      <c r="E22" s="12">
        <v>-0.34465905075962788</v>
      </c>
      <c r="F22" s="12">
        <v>0.16692321740718508</v>
      </c>
      <c r="G22" s="12">
        <v>0.28096577649388821</v>
      </c>
      <c r="H22" s="12">
        <v>9.2760916825005646E-2</v>
      </c>
      <c r="I22" s="12">
        <v>0.29749103942652333</v>
      </c>
      <c r="J22" s="12">
        <v>0.79966044142614612</v>
      </c>
      <c r="K22" s="12">
        <v>0.72881355932203395</v>
      </c>
      <c r="L22" s="12">
        <v>-0.90291262135922334</v>
      </c>
      <c r="M22" s="12">
        <v>0.24901325585246536</v>
      </c>
      <c r="N22" s="12">
        <v>0.79636249741724519</v>
      </c>
      <c r="O22" s="12">
        <v>0.23266387335871941</v>
      </c>
      <c r="P22" s="12">
        <v>1.8395963725845954E-2</v>
      </c>
      <c r="Q22" s="12">
        <v>0.10728538376827412</v>
      </c>
      <c r="R22" s="12">
        <v>0.11557292900576477</v>
      </c>
      <c r="S22" s="12">
        <v>-0.15614793199787713</v>
      </c>
      <c r="T22" s="12">
        <v>0.22898716976367761</v>
      </c>
      <c r="U22" s="12">
        <v>0.31714581034835621</v>
      </c>
      <c r="V22" s="12">
        <v>-0.90291262135922334</v>
      </c>
      <c r="W22" s="12">
        <v>0.14839888996881734</v>
      </c>
      <c r="X22" s="12">
        <v>0.68419902468687122</v>
      </c>
      <c r="Y22" s="12">
        <v>0.49650641716209543</v>
      </c>
      <c r="Z22" s="12">
        <v>0.27738817345860056</v>
      </c>
      <c r="AA22" s="12">
        <v>-0.11380520213960832</v>
      </c>
      <c r="AB22" s="12">
        <v>0.32777675535069184</v>
      </c>
      <c r="AC22" s="12">
        <v>0</v>
      </c>
      <c r="AD22" s="12">
        <v>0.21402201638361684</v>
      </c>
      <c r="AE22" s="12">
        <v>-0.17075412934571854</v>
      </c>
      <c r="AF22" s="12">
        <v>0.9110309433355479</v>
      </c>
      <c r="AG22" s="12">
        <v>-0.93654013835622263</v>
      </c>
    </row>
    <row r="23" spans="1:33">
      <c r="A23" s="12">
        <v>0.99406821552150282</v>
      </c>
      <c r="B23" s="12">
        <v>-0.12359550561797761</v>
      </c>
      <c r="C23" s="12">
        <v>0.35892461290855904</v>
      </c>
      <c r="D23" s="12">
        <v>0.89983022071307306</v>
      </c>
      <c r="E23" s="12">
        <v>-0.4184038001020689</v>
      </c>
      <c r="F23" s="12">
        <v>0.21645490359779807</v>
      </c>
      <c r="G23" s="12">
        <v>0.31250236524415631</v>
      </c>
      <c r="H23" s="12">
        <v>0.18079489794171666</v>
      </c>
      <c r="I23" s="12">
        <v>0.25448028673835132</v>
      </c>
      <c r="J23" s="12">
        <v>0.89983022071307306</v>
      </c>
      <c r="K23" s="12">
        <v>0.71186440677966112</v>
      </c>
      <c r="L23" s="12">
        <v>-0.37864077669902918</v>
      </c>
      <c r="M23" s="12">
        <v>0.58913972675085602</v>
      </c>
      <c r="N23" s="12">
        <v>0.90563024135228121</v>
      </c>
      <c r="O23" s="12">
        <v>0.34460844869525342</v>
      </c>
      <c r="P23" s="12">
        <v>0.14403373352679272</v>
      </c>
      <c r="Q23" s="12">
        <v>0.13355358207296497</v>
      </c>
      <c r="R23" s="12">
        <v>0.24284332306720358</v>
      </c>
      <c r="S23" s="12">
        <v>-0.11316330032129496</v>
      </c>
      <c r="T23" s="12">
        <v>0.24156941019152334</v>
      </c>
      <c r="U23" s="12">
        <v>0.41202079690020543</v>
      </c>
      <c r="V23" s="12">
        <v>-0.37864077669902918</v>
      </c>
      <c r="W23" s="12">
        <v>0.11112914531007778</v>
      </c>
      <c r="X23" s="12">
        <v>0.66715123529369857</v>
      </c>
      <c r="Y23" s="12">
        <v>0.61191584478627536</v>
      </c>
      <c r="Z23" s="12">
        <v>0.31923261987005547</v>
      </c>
      <c r="AA23" s="12">
        <v>-4.9307831415368986E-2</v>
      </c>
      <c r="AB23" s="12">
        <v>0.24934961958228286</v>
      </c>
      <c r="AC23" s="12">
        <v>0</v>
      </c>
      <c r="AD23" s="12">
        <v>0.28701924157835301</v>
      </c>
      <c r="AE23" s="12">
        <v>4.2374412663511274E-2</v>
      </c>
      <c r="AF23" s="12">
        <v>0.84003041553194868</v>
      </c>
      <c r="AG23" s="12">
        <v>-0.93579869585431785</v>
      </c>
    </row>
    <row r="24" spans="1:33">
      <c r="A24" s="12">
        <v>0.99505684626791902</v>
      </c>
      <c r="B24" s="12">
        <v>-0.101123595505618</v>
      </c>
      <c r="C24" s="12">
        <v>0.45002479949523755</v>
      </c>
      <c r="D24" s="12">
        <v>0.84719864176570447</v>
      </c>
      <c r="E24" s="12">
        <v>-0.47061594629607817</v>
      </c>
      <c r="F24" s="12">
        <v>0.23469174776279056</v>
      </c>
      <c r="G24" s="12">
        <v>0.36926822499463885</v>
      </c>
      <c r="H24" s="12">
        <v>0.29572815106631167</v>
      </c>
      <c r="I24" s="12">
        <v>0.13261648745519716</v>
      </c>
      <c r="J24" s="12">
        <v>0.84719864176570447</v>
      </c>
      <c r="K24" s="12">
        <v>0.79661016949152552</v>
      </c>
      <c r="L24" s="12">
        <v>-0.47572815533980584</v>
      </c>
      <c r="M24" s="12">
        <v>0.44698772055060609</v>
      </c>
      <c r="N24" s="12">
        <v>1</v>
      </c>
      <c r="O24" s="12">
        <v>0.44076879522675472</v>
      </c>
      <c r="P24" s="12">
        <v>0.18977574408486775</v>
      </c>
      <c r="Q24" s="12">
        <v>7.1722284525000291E-2</v>
      </c>
      <c r="R24" s="12">
        <v>0.37840559109215821</v>
      </c>
      <c r="S24" s="12">
        <v>-0.21484737525514519</v>
      </c>
      <c r="T24" s="12">
        <v>0.31609498811030301</v>
      </c>
      <c r="U24" s="12">
        <v>0.51220768157612229</v>
      </c>
      <c r="V24" s="12">
        <v>-0.47572815533980584</v>
      </c>
      <c r="W24" s="12">
        <v>9.5017635338733752E-2</v>
      </c>
      <c r="X24" s="12">
        <v>0.69153643884815197</v>
      </c>
      <c r="Y24" s="12">
        <v>0.88705601459008543</v>
      </c>
      <c r="Z24" s="12">
        <v>0.25556759525650352</v>
      </c>
      <c r="AA24" s="12">
        <v>-0.14743857855788445</v>
      </c>
      <c r="AB24" s="12">
        <v>0.20339390719572203</v>
      </c>
      <c r="AC24" s="12">
        <v>0</v>
      </c>
      <c r="AD24" s="12">
        <v>0.3545874705078198</v>
      </c>
      <c r="AE24" s="12">
        <v>0.20393409781909844</v>
      </c>
      <c r="AF24" s="12">
        <v>-1.4767229959379933</v>
      </c>
      <c r="AG24" s="12">
        <v>-1.0004526304573553</v>
      </c>
    </row>
    <row r="25" spans="1:33">
      <c r="A25" s="12">
        <v>0.99604547701433521</v>
      </c>
      <c r="B25" s="12">
        <v>-0.34831460674157311</v>
      </c>
      <c r="C25" s="12">
        <v>0.49051377131153906</v>
      </c>
      <c r="D25" s="12">
        <v>0.96943972835314085</v>
      </c>
      <c r="E25" s="12">
        <v>-0.45499155969065286</v>
      </c>
      <c r="F25" s="12">
        <v>0.22321871168045093</v>
      </c>
      <c r="G25" s="12">
        <v>0.41341944924501406</v>
      </c>
      <c r="H25" s="12">
        <v>0.37887135545431638</v>
      </c>
      <c r="I25" s="12">
        <v>0.10394265232974909</v>
      </c>
      <c r="J25" s="12">
        <v>0.96943972835314085</v>
      </c>
      <c r="K25" s="12">
        <v>0.92372881355932202</v>
      </c>
      <c r="L25" s="12">
        <v>-1</v>
      </c>
      <c r="M25" s="12">
        <v>0.54043076201933027</v>
      </c>
      <c r="N25" s="12">
        <v>0.97389367905623692</v>
      </c>
      <c r="O25" s="12">
        <v>0.41707313966964255</v>
      </c>
      <c r="P25" s="12">
        <v>0.6049807014168016</v>
      </c>
      <c r="Q25" s="12">
        <v>0.45562674910839673</v>
      </c>
      <c r="R25" s="12">
        <v>0.50001974255705606</v>
      </c>
      <c r="S25" s="12">
        <v>-0.11344062052566006</v>
      </c>
      <c r="T25" s="12">
        <v>0.2872960767385615</v>
      </c>
      <c r="U25" s="12">
        <v>0.56676423985229718</v>
      </c>
      <c r="V25" s="12">
        <v>-1</v>
      </c>
      <c r="W25" s="12">
        <v>0.21496528985279295</v>
      </c>
      <c r="X25" s="12">
        <v>0.66823438869529905</v>
      </c>
      <c r="Y25" s="12">
        <v>1</v>
      </c>
      <c r="Z25" s="12">
        <v>0.21529673278934292</v>
      </c>
      <c r="AA25" s="12">
        <v>-0.20951048706797781</v>
      </c>
      <c r="AB25" s="12">
        <v>0.30859253519896557</v>
      </c>
      <c r="AC25" s="12">
        <v>0</v>
      </c>
      <c r="AD25" s="12">
        <v>0.43359594357786579</v>
      </c>
      <c r="AE25" s="12">
        <v>0.24866047854878559</v>
      </c>
      <c r="AF25" s="12">
        <v>-1.4767229959379933</v>
      </c>
      <c r="AG25" s="12">
        <v>-1.0004526304573553</v>
      </c>
    </row>
    <row r="26" spans="1:33">
      <c r="A26" s="12">
        <v>0.99703410776075141</v>
      </c>
      <c r="B26" s="12">
        <v>-4.2584269662921344</v>
      </c>
      <c r="C26" s="12">
        <v>0.27794666927595602</v>
      </c>
      <c r="D26" s="12">
        <v>0.61460101867572159</v>
      </c>
      <c r="E26" s="12">
        <v>-0.44986848820319558</v>
      </c>
      <c r="F26" s="12">
        <v>-0.11668710375955538</v>
      </c>
      <c r="G26" s="12">
        <v>4.7595019741904609E-2</v>
      </c>
      <c r="H26" s="12">
        <v>0.55493931768773863</v>
      </c>
      <c r="I26" s="12">
        <v>1</v>
      </c>
      <c r="J26" s="12">
        <v>0.61460101867572159</v>
      </c>
      <c r="K26" s="12">
        <v>1</v>
      </c>
      <c r="L26" s="12">
        <v>-0.61165048543689315</v>
      </c>
      <c r="M26" s="12">
        <v>4.9511193559708122E-2</v>
      </c>
      <c r="N26" s="12">
        <v>-0.78813211897398228</v>
      </c>
      <c r="O26" s="12">
        <v>-0.74040065714904291</v>
      </c>
      <c r="P26" s="12">
        <v>0.76386102447310122</v>
      </c>
      <c r="Q26" s="12">
        <v>0.60718940381292996</v>
      </c>
      <c r="R26" s="12">
        <v>0.6144870883676854</v>
      </c>
      <c r="S26" s="12">
        <v>-0.10456637398597857</v>
      </c>
      <c r="T26" s="12">
        <v>5.5008561147560142E-2</v>
      </c>
      <c r="U26" s="12">
        <v>0.36384667283836158</v>
      </c>
      <c r="V26" s="12">
        <v>-0.61165048543689315</v>
      </c>
      <c r="W26" s="12">
        <v>0.47049600706394323</v>
      </c>
      <c r="X26" s="12">
        <v>-0.25349352602062269</v>
      </c>
      <c r="Y26" s="12">
        <v>0.37562617323375269</v>
      </c>
      <c r="Z26" s="12">
        <v>0.3187806515121272</v>
      </c>
      <c r="AA26" s="12">
        <v>-5.0004478727569968E-2</v>
      </c>
      <c r="AB26" s="12">
        <v>0.56973810065565011</v>
      </c>
      <c r="AC26" s="12">
        <v>0</v>
      </c>
      <c r="AD26" s="12">
        <v>0.53207054993860003</v>
      </c>
      <c r="AE26" s="12">
        <v>0.4757448927608694</v>
      </c>
      <c r="AF26" s="12">
        <v>-1.4767229959379933</v>
      </c>
      <c r="AG26" s="12">
        <v>-1.0004526304573553</v>
      </c>
    </row>
    <row r="27" spans="1:33">
      <c r="A27" s="12">
        <v>0.99802273850716761</v>
      </c>
      <c r="B27" s="12">
        <v>-0.2359550561797753</v>
      </c>
      <c r="C27" s="12">
        <v>0.37916909881670979</v>
      </c>
      <c r="D27" s="12">
        <v>-1.8675721561969394E-2</v>
      </c>
      <c r="E27" s="12">
        <v>-0.40778471322576848</v>
      </c>
      <c r="F27" s="12">
        <v>0.11189308356596839</v>
      </c>
      <c r="G27" s="12">
        <v>0.35665358949453152</v>
      </c>
      <c r="H27" s="12">
        <v>0.85083130977446175</v>
      </c>
      <c r="I27" s="12">
        <v>0.72759856630824382</v>
      </c>
      <c r="J27" s="12">
        <v>-1.8675721561969394E-2</v>
      </c>
      <c r="K27" s="12">
        <v>0.84745762711864403</v>
      </c>
      <c r="L27" s="12">
        <v>-0.32038834951456319</v>
      </c>
      <c r="M27" s="12">
        <v>8.0195679127131214E-2</v>
      </c>
      <c r="N27" s="12">
        <v>-1</v>
      </c>
      <c r="O27" s="12">
        <v>-0.794933839355077</v>
      </c>
      <c r="P27" s="12">
        <v>0.56574569821957765</v>
      </c>
      <c r="Q27" s="12">
        <v>0.72802311601450809</v>
      </c>
      <c r="R27" s="12">
        <v>0.75758114190950021</v>
      </c>
      <c r="S27" s="12">
        <v>6.0808907883710628E-2</v>
      </c>
      <c r="T27" s="12">
        <v>0.30082642947494209</v>
      </c>
      <c r="U27" s="12">
        <v>0.4403186342194958</v>
      </c>
      <c r="V27" s="12">
        <v>-0.32038834951456319</v>
      </c>
      <c r="W27" s="12">
        <v>0.66036259285212129</v>
      </c>
      <c r="X27" s="12">
        <v>-1</v>
      </c>
      <c r="Y27" s="12">
        <v>0.62700479578374702</v>
      </c>
      <c r="Z27" s="12">
        <v>0.74798404314271649</v>
      </c>
      <c r="AA27" s="12">
        <v>0.61155260253161758</v>
      </c>
      <c r="AB27" s="12">
        <v>0.73628677850814905</v>
      </c>
      <c r="AC27" s="12">
        <v>0</v>
      </c>
      <c r="AD27" s="12">
        <v>0.63373303315991936</v>
      </c>
      <c r="AE27" s="12">
        <v>0.60806254511182489</v>
      </c>
      <c r="AF27" s="12">
        <v>-1.4767229959379933</v>
      </c>
      <c r="AG27" s="12">
        <v>-1.0004526304573553</v>
      </c>
    </row>
    <row r="28" spans="1:33">
      <c r="A28" s="12">
        <v>0.9990113692535838</v>
      </c>
      <c r="B28" s="12">
        <v>1</v>
      </c>
      <c r="C28" s="12">
        <v>0.68958454940835501</v>
      </c>
      <c r="D28" s="12">
        <v>0.49066213921901536</v>
      </c>
      <c r="E28" s="12">
        <v>0.23780080869940723</v>
      </c>
      <c r="F28" s="12">
        <v>0.79352448537660769</v>
      </c>
      <c r="G28" s="12">
        <v>0.99369268224994634</v>
      </c>
      <c r="H28" s="12">
        <v>0.89729368869717052</v>
      </c>
      <c r="I28" s="12">
        <v>0.35483870967741926</v>
      </c>
      <c r="J28" s="12">
        <v>0.49066213921901536</v>
      </c>
      <c r="K28" s="12">
        <v>0.70338983050847448</v>
      </c>
      <c r="L28" s="12">
        <v>1</v>
      </c>
      <c r="M28" s="12">
        <v>0.53462527883963284</v>
      </c>
      <c r="N28" s="12">
        <v>0.34058909765928624</v>
      </c>
      <c r="O28" s="12">
        <v>0.46134155194151893</v>
      </c>
      <c r="P28" s="12">
        <v>0.7356461259990319</v>
      </c>
      <c r="Q28" s="12">
        <v>0.91513351316946023</v>
      </c>
      <c r="R28" s="12">
        <v>0.86912658927584308</v>
      </c>
      <c r="S28" s="12">
        <v>0.50932811841011194</v>
      </c>
      <c r="T28" s="12">
        <v>0.61078014500674449</v>
      </c>
      <c r="U28" s="12">
        <v>0.72688075441932898</v>
      </c>
      <c r="V28" s="12">
        <v>1</v>
      </c>
      <c r="W28" s="12">
        <v>0.8661173428791209</v>
      </c>
      <c r="X28" s="12">
        <v>0.35550709869285235</v>
      </c>
      <c r="Y28" s="12">
        <v>0.78774812134499328</v>
      </c>
      <c r="Z28" s="12">
        <v>1</v>
      </c>
      <c r="AA28" s="12">
        <v>1</v>
      </c>
      <c r="AB28" s="12">
        <v>0.91415980130388919</v>
      </c>
      <c r="AC28" s="12">
        <v>0</v>
      </c>
      <c r="AD28" s="12">
        <v>0.74231802887119791</v>
      </c>
      <c r="AE28" s="12">
        <v>0.75185401003252683</v>
      </c>
      <c r="AF28" s="12">
        <v>-1.4767229959379933</v>
      </c>
      <c r="AG28" s="12">
        <v>-1.0004526304573553</v>
      </c>
    </row>
    <row r="29" spans="1:33">
      <c r="A29" s="12">
        <v>1</v>
      </c>
      <c r="B29" s="12">
        <v>0.57303370786516838</v>
      </c>
      <c r="C29" s="12">
        <v>1</v>
      </c>
      <c r="D29" s="12">
        <v>1</v>
      </c>
      <c r="E29" s="12">
        <v>1</v>
      </c>
      <c r="F29" s="12">
        <v>1</v>
      </c>
      <c r="G29" s="12">
        <v>1</v>
      </c>
      <c r="H29" s="12">
        <v>1</v>
      </c>
      <c r="I29" s="12">
        <v>-4.6594982078853042E-2</v>
      </c>
      <c r="J29" s="12">
        <v>1</v>
      </c>
      <c r="K29" s="12">
        <v>0.56779661016949157</v>
      </c>
      <c r="L29" s="12">
        <v>0.26213592233009697</v>
      </c>
      <c r="M29" s="12">
        <v>1</v>
      </c>
      <c r="N29" s="12">
        <v>0.82945947452829882</v>
      </c>
      <c r="O29" s="12">
        <v>1</v>
      </c>
      <c r="P29" s="12">
        <v>1</v>
      </c>
      <c r="Q29" s="12">
        <v>1</v>
      </c>
      <c r="R29" s="12">
        <v>1</v>
      </c>
      <c r="S29" s="12">
        <v>1</v>
      </c>
      <c r="T29" s="12">
        <v>1</v>
      </c>
      <c r="U29" s="12">
        <v>1</v>
      </c>
      <c r="V29" s="12">
        <v>0.26213592233009697</v>
      </c>
      <c r="W29" s="12">
        <v>1</v>
      </c>
      <c r="X29" s="12">
        <v>1.0385540852223194</v>
      </c>
      <c r="Y29" s="12">
        <v>-1.4222073041818111</v>
      </c>
      <c r="Z29" s="12">
        <v>-1.8815499119316161</v>
      </c>
      <c r="AA29" s="12">
        <v>-3.4415067245515854</v>
      </c>
      <c r="AB29" s="12">
        <v>1</v>
      </c>
      <c r="AC29" s="12">
        <v>0</v>
      </c>
      <c r="AD29" s="12">
        <v>0.86717621060668737</v>
      </c>
      <c r="AE29" s="12">
        <v>0.84384642268233945</v>
      </c>
      <c r="AF29" s="12">
        <v>-1.4767229959379933</v>
      </c>
      <c r="AG29" s="12">
        <v>-1.0004526304573553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Zaynah Dhuny</dc:creator>
  <cp:lastModifiedBy>Padmapriya V</cp:lastModifiedBy>
  <dcterms:created xsi:type="dcterms:W3CDTF">2025-01-06T12:44:53Z</dcterms:created>
  <dcterms:modified xsi:type="dcterms:W3CDTF">2025-01-06T13:43:01Z</dcterms:modified>
</cp:coreProperties>
</file>