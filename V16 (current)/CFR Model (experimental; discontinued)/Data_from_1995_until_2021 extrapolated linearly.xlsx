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at/Documents/School (Grade 11)/Internship Season 2/CFR Model/"/>
    </mc:Choice>
  </mc:AlternateContent>
  <xr:revisionPtr revIDLastSave="0" documentId="13_ncr:1_{F89806C1-CAE3-3446-AC75-667CCC71799D}" xr6:coauthVersionLast="47" xr6:coauthVersionMax="47" xr10:uidLastSave="{00000000-0000-0000-0000-000000000000}"/>
  <bookViews>
    <workbookView xWindow="0" yWindow="740" windowWidth="30240" windowHeight="18900" firstSheet="1" activeTab="6" xr2:uid="{5E340C1E-6273-4B00-8D34-478EF9F7B760}"/>
  </bookViews>
  <sheets>
    <sheet name="Broadmoney" sheetId="1" r:id="rId1"/>
    <sheet name="international indices" sheetId="9" r:id="rId2"/>
    <sheet name="Labour productivity" sheetId="8" r:id="rId3"/>
    <sheet name="Sectoral" sheetId="4" r:id="rId4"/>
    <sheet name="Sectoral breakdown" sheetId="11" r:id="rId5"/>
    <sheet name="Tax Data" sheetId="12" r:id="rId6"/>
    <sheet name="trade" sheetId="5" r:id="rId7"/>
    <sheet name="Price levels" sheetId="6" r:id="rId8"/>
    <sheet name="public finance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9" l="1"/>
  <c r="F5" i="9" s="1"/>
  <c r="E5" i="9"/>
  <c r="E4" i="9" s="1"/>
  <c r="E3" i="9" s="1"/>
  <c r="E2" i="9" s="1"/>
  <c r="E6" i="9"/>
  <c r="G11" i="7"/>
  <c r="G10" i="7" s="1"/>
  <c r="G9" i="7" s="1"/>
  <c r="G8" i="7" s="1"/>
  <c r="G7" i="7" s="1"/>
  <c r="G6" i="7" s="1"/>
  <c r="G5" i="7" s="1"/>
  <c r="G4" i="7" s="1"/>
  <c r="G3" i="7" s="1"/>
  <c r="G2" i="7" s="1"/>
  <c r="G12" i="7"/>
  <c r="E5" i="4"/>
  <c r="E4" i="4" s="1"/>
  <c r="E3" i="4" s="1"/>
  <c r="E2" i="4" s="1"/>
  <c r="F5" i="4"/>
  <c r="F4" i="4" s="1"/>
  <c r="F3" i="4" s="1"/>
  <c r="F2" i="4" s="1"/>
  <c r="D4" i="4"/>
  <c r="D3" i="4"/>
  <c r="D2" i="4" s="1"/>
  <c r="D5" i="4"/>
</calcChain>
</file>

<file path=xl/sharedStrings.xml><?xml version="1.0" encoding="utf-8"?>
<sst xmlns="http://schemas.openxmlformats.org/spreadsheetml/2006/main" count="126" uniqueCount="70">
  <si>
    <t>Year</t>
  </si>
  <si>
    <t>Export</t>
  </si>
  <si>
    <t>Import</t>
  </si>
  <si>
    <t>Murlabour</t>
  </si>
  <si>
    <t>Forlabour</t>
  </si>
  <si>
    <t>Foreign Direct inv (FDI)</t>
  </si>
  <si>
    <t>consumer price index</t>
  </si>
  <si>
    <t>General government net lending</t>
  </si>
  <si>
    <t>Gross fixed capital formation</t>
  </si>
  <si>
    <t>exchange rate (USD)</t>
  </si>
  <si>
    <t>world oilprice (MUR per barrel)</t>
  </si>
  <si>
    <t>Primary</t>
  </si>
  <si>
    <t>Secondary</t>
  </si>
  <si>
    <t>Tertiary</t>
  </si>
  <si>
    <t xml:space="preserve">GDP at current market prices </t>
  </si>
  <si>
    <t>Headline Inflation %</t>
  </si>
  <si>
    <t>Unemployment</t>
  </si>
  <si>
    <t>Real GDP Growth (at market prices)</t>
  </si>
  <si>
    <t xml:space="preserve">Bank of Mauritius Monthly Satistical Bulletin </t>
  </si>
  <si>
    <t>General Govt Expenditure</t>
  </si>
  <si>
    <t xml:space="preserve">  Agriculture, forestry and fishing- primary</t>
  </si>
  <si>
    <t>Rs Million</t>
  </si>
  <si>
    <t xml:space="preserve">         Sugarcane</t>
  </si>
  <si>
    <t xml:space="preserve">         Other</t>
  </si>
  <si>
    <t xml:space="preserve">  Mining and quarrying- primary</t>
  </si>
  <si>
    <t xml:space="preserve">  Manufacturing- secondary</t>
  </si>
  <si>
    <t xml:space="preserve">        Sugar</t>
  </si>
  <si>
    <t xml:space="preserve">        Food excl. Sugar</t>
  </si>
  <si>
    <t xml:space="preserve">        Textiles</t>
  </si>
  <si>
    <t xml:space="preserve">        Other</t>
  </si>
  <si>
    <t xml:space="preserve">  Electricity, gas, steam and air conditioning supply</t>
  </si>
  <si>
    <t xml:space="preserve">  Water supply, sewerage, waste management and remediation activities</t>
  </si>
  <si>
    <t xml:space="preserve">  Construction</t>
  </si>
  <si>
    <t xml:space="preserve">  Wholesale &amp; retail trade; repair of motor vehicles and motorcycles</t>
  </si>
  <si>
    <t xml:space="preserve">         of which Wholesale and retail trade</t>
  </si>
  <si>
    <t xml:space="preserve">  Transportation and storage </t>
  </si>
  <si>
    <t xml:space="preserve">  Information and communication</t>
  </si>
  <si>
    <t xml:space="preserve">  Financial and insurance activities</t>
  </si>
  <si>
    <t xml:space="preserve">        Monetary intermediation</t>
  </si>
  <si>
    <t xml:space="preserve">        Financial leasing and other credit granting</t>
  </si>
  <si>
    <t xml:space="preserve">        Insurance, reinsurance and pension funding</t>
  </si>
  <si>
    <t xml:space="preserve">  Real estate activities</t>
  </si>
  <si>
    <t xml:space="preserve">        of which Owner occupied dwellings</t>
  </si>
  <si>
    <t xml:space="preserve">  Professional, scientific and technical activities</t>
  </si>
  <si>
    <t xml:space="preserve">  Administrative and support service activities                                                  </t>
  </si>
  <si>
    <t xml:space="preserve">  Public administration and defence; compulsory social security                                                    </t>
  </si>
  <si>
    <t xml:space="preserve">  Education</t>
  </si>
  <si>
    <t xml:space="preserve">  Human health and social work activities</t>
  </si>
  <si>
    <t xml:space="preserve">  Arts, entertainment and recreation</t>
  </si>
  <si>
    <t xml:space="preserve">  Other service activities</t>
  </si>
  <si>
    <t>Gross Domestic Savings</t>
  </si>
  <si>
    <t>Primary sector</t>
  </si>
  <si>
    <t>Tertiary sector</t>
  </si>
  <si>
    <t>Labour Productivity Growth rate for total economy(%)</t>
  </si>
  <si>
    <t>Revenue -  Consolidated General Government</t>
  </si>
  <si>
    <t>Budget deficit/surplus</t>
  </si>
  <si>
    <t>GDP deflator</t>
  </si>
  <si>
    <t>BOM Broadmoney</t>
  </si>
  <si>
    <t>Bank of Mauritius</t>
  </si>
  <si>
    <t>Oil Import</t>
  </si>
  <si>
    <t>Oil Export</t>
  </si>
  <si>
    <t>Secondary sector</t>
  </si>
  <si>
    <t>Tourism</t>
  </si>
  <si>
    <t>Individual income tax</t>
  </si>
  <si>
    <t>Corporate tax</t>
  </si>
  <si>
    <t>VAT</t>
  </si>
  <si>
    <t>Excise duties</t>
  </si>
  <si>
    <t>Customs and other import duties</t>
  </si>
  <si>
    <t>RealGDPGrowth</t>
  </si>
  <si>
    <t>GDP at current market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</si>
</sst>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-* #,##0.00_-;\-* #,##0.00_-;_-* &quot;-&quot;??_-;_-@_-"/>
    <numFmt numFmtId="165" formatCode="&quot;$&quot;#,##0.00_);[Red]\(&quot;$&quot;#,##0.00\)"/>
    <numFmt numFmtId="166" formatCode="#,##0.00&quot; &quot;"/>
    <numFmt numFmtId="167" formatCode="&quot; &quot;* #,##0.00&quot; &quot;;&quot;-&quot;* #,##0.00&quot; &quot;;&quot; &quot;* &quot;-&quot;#&quot; &quot;;&quot; &quot;@&quot; &quot;"/>
    <numFmt numFmtId="168" formatCode="0.0000\ \ \ \ \ \ \ "/>
    <numFmt numFmtId="169" formatCode="0.0\ \ \ \ \ \ \ "/>
    <numFmt numFmtId="170" formatCode="&quot; &quot;* #,##0&quot; &quot;;&quot;-&quot;* #,##0&quot; &quot;;&quot; &quot;* &quot;-&quot;#&quot; &quot;;&quot; &quot;@&quot; &quot;"/>
    <numFmt numFmtId="171" formatCode="0.0"/>
    <numFmt numFmtId="172" formatCode="_(* #,##0_);_(* \(#,##0\);_(* &quot;-&quot;??_);_(@_)"/>
  </numFmts>
  <fonts count="25"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Glacial Indifference"/>
      <family val="3"/>
    </font>
    <font>
      <sz val="9"/>
      <color rgb="FF00000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Helv"/>
    </font>
    <font>
      <sz val="12"/>
      <name val="Times New Roman"/>
      <family val="1"/>
    </font>
    <font>
      <sz val="11"/>
      <name val="CG Times"/>
      <family val="1"/>
    </font>
    <font>
      <sz val="11"/>
      <color theme="1"/>
      <name val="Times New Roman"/>
      <family val="2"/>
    </font>
    <font>
      <sz val="10"/>
      <color rgb="FF000000"/>
      <name val="Aptos Narrow"/>
      <family val="2"/>
      <scheme val="minor"/>
    </font>
    <font>
      <sz val="11"/>
      <color theme="0"/>
      <name val="Aptos Narrow"/>
      <family val="2"/>
    </font>
    <font>
      <sz val="11"/>
      <name val="Aptos Narrow"/>
      <family val="2"/>
    </font>
    <font>
      <sz val="10"/>
      <name val="Roboto"/>
    </font>
    <font>
      <i/>
      <sz val="10"/>
      <name val="Roboto"/>
    </font>
    <font>
      <sz val="10"/>
      <color rgb="FF000000"/>
      <name val="Roboto"/>
    </font>
    <font>
      <sz val="12"/>
      <name val="Arial"/>
      <family val="2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sz val="8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 tint="-0.499984740745262"/>
      </right>
      <top/>
      <bottom/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/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/>
      <top/>
      <bottom style="thin">
        <color indexed="64"/>
      </bottom>
      <diagonal/>
    </border>
  </borders>
  <cellStyleXfs count="55">
    <xf numFmtId="0" fontId="0" fillId="0" borderId="0"/>
    <xf numFmtId="167" fontId="3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" fontId="8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6" fillId="0" borderId="0"/>
    <xf numFmtId="0" fontId="2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8" fillId="0" borderId="0"/>
    <xf numFmtId="0" fontId="6" fillId="0" borderId="0"/>
    <xf numFmtId="0" fontId="9" fillId="0" borderId="0"/>
    <xf numFmtId="0" fontId="11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7" fillId="0" borderId="0"/>
  </cellStyleXfs>
  <cellXfs count="61">
    <xf numFmtId="0" fontId="0" fillId="0" borderId="0" xfId="0"/>
    <xf numFmtId="3" fontId="0" fillId="0" borderId="0" xfId="0" applyNumberFormat="1"/>
    <xf numFmtId="0" fontId="15" fillId="2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2" fontId="0" fillId="0" borderId="0" xfId="0" applyNumberFormat="1"/>
    <xf numFmtId="170" fontId="0" fillId="0" borderId="0" xfId="1" applyNumberFormat="1" applyFont="1" applyFill="1" applyBorder="1"/>
    <xf numFmtId="1" fontId="0" fillId="0" borderId="0" xfId="0" applyNumberFormat="1"/>
    <xf numFmtId="171" fontId="0" fillId="0" borderId="0" xfId="0" applyNumberFormat="1"/>
    <xf numFmtId="0" fontId="12" fillId="0" borderId="0" xfId="0" applyFont="1"/>
    <xf numFmtId="171" fontId="9" fillId="0" borderId="0" xfId="54" applyNumberFormat="1" applyFont="1" applyAlignment="1">
      <alignment horizontal="right"/>
    </xf>
    <xf numFmtId="0" fontId="4" fillId="0" borderId="0" xfId="0" applyFont="1"/>
    <xf numFmtId="166" fontId="5" fillId="0" borderId="0" xfId="0" applyNumberFormat="1" applyFont="1"/>
    <xf numFmtId="171" fontId="18" fillId="0" borderId="0" xfId="27" applyNumberFormat="1" applyFont="1"/>
    <xf numFmtId="0" fontId="14" fillId="0" borderId="0" xfId="0" applyFont="1" applyAlignment="1">
      <alignment vertical="top" wrapText="1"/>
    </xf>
    <xf numFmtId="3" fontId="14" fillId="0" borderId="0" xfId="0" applyNumberFormat="1" applyFont="1" applyAlignment="1">
      <alignment vertical="top" wrapText="1"/>
    </xf>
    <xf numFmtId="3" fontId="14" fillId="0" borderId="0" xfId="0" applyNumberFormat="1" applyFont="1" applyAlignment="1">
      <alignment vertical="top"/>
    </xf>
    <xf numFmtId="0" fontId="0" fillId="0" borderId="0" xfId="0" applyAlignment="1">
      <alignment vertical="top" wrapText="1"/>
    </xf>
    <xf numFmtId="0" fontId="13" fillId="0" borderId="0" xfId="0" applyFont="1"/>
    <xf numFmtId="0" fontId="0" fillId="0" borderId="0" xfId="0" applyAlignment="1">
      <alignment wrapText="1"/>
    </xf>
    <xf numFmtId="3" fontId="1" fillId="0" borderId="0" xfId="0" applyNumberFormat="1" applyFont="1"/>
    <xf numFmtId="172" fontId="0" fillId="0" borderId="0" xfId="1" applyNumberFormat="1" applyFont="1" applyFill="1" applyBorder="1" applyAlignment="1">
      <alignment horizontal="center"/>
    </xf>
    <xf numFmtId="172" fontId="0" fillId="0" borderId="0" xfId="1" applyNumberFormat="1" applyFont="1" applyFill="1" applyBorder="1"/>
    <xf numFmtId="0" fontId="15" fillId="3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3" fontId="15" fillId="3" borderId="2" xfId="0" applyNumberFormat="1" applyFont="1" applyFill="1" applyBorder="1" applyAlignment="1">
      <alignment horizontal="center" vertical="center" wrapText="1"/>
    </xf>
    <xf numFmtId="3" fontId="15" fillId="2" borderId="4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3" fontId="15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vertical="center"/>
    </xf>
    <xf numFmtId="3" fontId="15" fillId="2" borderId="5" xfId="0" applyNumberFormat="1" applyFont="1" applyFill="1" applyBorder="1" applyAlignment="1">
      <alignment horizontal="center" vertical="center" wrapText="1"/>
    </xf>
    <xf numFmtId="3" fontId="15" fillId="2" borderId="6" xfId="0" applyNumberFormat="1" applyFont="1" applyFill="1" applyBorder="1" applyAlignment="1">
      <alignment horizontal="center" vertical="center" wrapText="1"/>
    </xf>
    <xf numFmtId="3" fontId="15" fillId="5" borderId="4" xfId="0" applyNumberFormat="1" applyFont="1" applyFill="1" applyBorder="1" applyAlignment="1">
      <alignment horizontal="center" vertical="center" wrapText="1"/>
    </xf>
    <xf numFmtId="3" fontId="15" fillId="5" borderId="1" xfId="0" applyNumberFormat="1" applyFont="1" applyFill="1" applyBorder="1" applyAlignment="1">
      <alignment horizontal="center" vertical="center" wrapText="1"/>
    </xf>
    <xf numFmtId="3" fontId="15" fillId="6" borderId="1" xfId="0" applyNumberFormat="1" applyFont="1" applyFill="1" applyBorder="1" applyAlignment="1">
      <alignment horizontal="center" vertical="center" wrapText="1"/>
    </xf>
    <xf numFmtId="0" fontId="23" fillId="0" borderId="0" xfId="0" applyFont="1"/>
    <xf numFmtId="167" fontId="24" fillId="0" borderId="0" xfId="1" applyFont="1"/>
    <xf numFmtId="2" fontId="12" fillId="0" borderId="0" xfId="0" applyNumberFormat="1" applyFont="1"/>
    <xf numFmtId="2" fontId="0" fillId="0" borderId="0" xfId="1" applyNumberFormat="1" applyFont="1" applyFill="1" applyBorder="1"/>
    <xf numFmtId="2" fontId="18" fillId="0" borderId="0" xfId="27" applyNumberFormat="1" applyFont="1"/>
    <xf numFmtId="2" fontId="24" fillId="0" borderId="0" xfId="1" applyNumberFormat="1" applyFont="1"/>
    <xf numFmtId="2" fontId="4" fillId="0" borderId="0" xfId="0" applyNumberFormat="1" applyFont="1"/>
    <xf numFmtId="2" fontId="0" fillId="0" borderId="0" xfId="0" applyNumberFormat="1" applyAlignment="1">
      <alignment horizontal="right"/>
    </xf>
    <xf numFmtId="0" fontId="22" fillId="4" borderId="3" xfId="0" applyFont="1" applyFill="1" applyBorder="1" applyAlignment="1">
      <alignment horizontal="center"/>
    </xf>
    <xf numFmtId="0" fontId="19" fillId="0" borderId="7" xfId="0" applyFont="1" applyBorder="1" applyAlignment="1">
      <alignment horizontal="center" vertical="top"/>
    </xf>
    <xf numFmtId="0" fontId="19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top"/>
    </xf>
    <xf numFmtId="0" fontId="22" fillId="3" borderId="8" xfId="0" applyFont="1" applyFill="1" applyBorder="1" applyAlignment="1">
      <alignment horizontal="center"/>
    </xf>
    <xf numFmtId="0" fontId="22" fillId="3" borderId="9" xfId="0" applyFont="1" applyFill="1" applyBorder="1" applyAlignment="1">
      <alignment horizontal="center"/>
    </xf>
    <xf numFmtId="0" fontId="22" fillId="3" borderId="10" xfId="0" applyFont="1" applyFill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3" xfId="0" applyFont="1" applyBorder="1" applyAlignment="1">
      <alignment horizontal="center"/>
    </xf>
  </cellXfs>
  <cellStyles count="55">
    <cellStyle name="Comma" xfId="1" builtinId="3" customBuiltin="1"/>
    <cellStyle name="Comma 2" xfId="3" xr:uid="{B20F8CA5-26C6-4030-89A0-9A27D06C602C}"/>
    <cellStyle name="Comma 2 2" xfId="4" xr:uid="{A6757878-E63C-499C-AF6D-74AEAC2E3279}"/>
    <cellStyle name="Comma 2 2 2" xfId="5" xr:uid="{6B023942-91E9-4512-A94D-CB4D130AF80C}"/>
    <cellStyle name="Comma 2 3" xfId="6" xr:uid="{372FC33A-0369-4058-BC08-8D4A2296387F}"/>
    <cellStyle name="Comma 2 4" xfId="7" xr:uid="{6C4FFF5D-C952-4675-BBAF-DC602AF91BAE}"/>
    <cellStyle name="Comma 3" xfId="8" xr:uid="{FF57F9A8-CD38-40CA-85A2-39E2D9828321}"/>
    <cellStyle name="Comma 3 2" xfId="9" xr:uid="{EBC18270-CF6D-423D-86EE-3CDD3EB3206B}"/>
    <cellStyle name="Comma 3 3" xfId="10" xr:uid="{1BF75430-3820-4313-BBAD-8FBC55A44391}"/>
    <cellStyle name="Comma 4" xfId="11" xr:uid="{6C6B9F3D-7796-4367-8712-CDFDC8E58EED}"/>
    <cellStyle name="Comma 4 2" xfId="12" xr:uid="{8F7AC2FA-1D84-4271-B706-805FC96FC873}"/>
    <cellStyle name="Comma 4 3" xfId="13" xr:uid="{7A277916-A08C-48F4-ACA0-2F1CD2AC8183}"/>
    <cellStyle name="Comma 4 4" xfId="14" xr:uid="{95F502ED-2C29-40CE-8ACF-287F1BC54412}"/>
    <cellStyle name="Comma 4 5" xfId="15" xr:uid="{8658B962-E90B-4F81-88E3-75183732D6CB}"/>
    <cellStyle name="Comma 4 6" xfId="16" xr:uid="{5588B0B3-510F-4F16-BB30-7CC1CF470A38}"/>
    <cellStyle name="Comma 5" xfId="17" xr:uid="{72C78CF2-FC14-41C6-8D6F-07408992B33A}"/>
    <cellStyle name="Comma 6" xfId="18" xr:uid="{08C0DFFB-F556-4F76-B56B-5B158A4E287B}"/>
    <cellStyle name="Comma 7" xfId="19" xr:uid="{0AD0EFD3-61BA-4138-9415-FBE8936F4556}"/>
    <cellStyle name="Comma 8" xfId="20" xr:uid="{9F73D63C-4D64-4CBB-9DC2-829EC2D953DC}"/>
    <cellStyle name="Currency 2" xfId="21" xr:uid="{A927255C-A4C3-4644-9E40-58DBD1E07BCE}"/>
    <cellStyle name="Normal" xfId="0" builtinId="0" customBuiltin="1"/>
    <cellStyle name="Normal 10" xfId="22" xr:uid="{A363A99B-1C07-46BA-9990-AB1566072E88}"/>
    <cellStyle name="Normal 11" xfId="23" xr:uid="{C2F7620B-9FE0-4CFE-B8E6-80076E220404}"/>
    <cellStyle name="Normal 12" xfId="24" xr:uid="{F5B1D3AB-ADAA-4E16-91C7-51E40CE935B9}"/>
    <cellStyle name="Normal 13" xfId="25" xr:uid="{09677B3B-EEA2-41F0-A291-28D70EA3B6FB}"/>
    <cellStyle name="Normal 14" xfId="2" xr:uid="{443BD42A-7760-4296-90FC-2B2F32657E5A}"/>
    <cellStyle name="Normal 2" xfId="26" xr:uid="{06402153-0A3A-472D-A566-116434AD540D}"/>
    <cellStyle name="Normal 2 2" xfId="27" xr:uid="{AFE3AA59-C40D-4251-8609-2994821B45CB}"/>
    <cellStyle name="Normal 2 2 2" xfId="28" xr:uid="{376D5753-1F6A-4102-8546-802753C0D673}"/>
    <cellStyle name="Normal 2 2 2 2 2" xfId="29" xr:uid="{85E02115-44E5-4238-AB9E-DD921382BC14}"/>
    <cellStyle name="Normal 2 3" xfId="30" xr:uid="{927D60F4-A8F7-4097-9BFE-A003EB743F52}"/>
    <cellStyle name="Normal 2 3 2" xfId="31" xr:uid="{D107AE39-40FA-43D8-9B1A-01FD8CE13948}"/>
    <cellStyle name="Normal 2 4" xfId="32" xr:uid="{F67F544C-B145-4E80-BFE3-93707E878279}"/>
    <cellStyle name="Normal 2 4 2" xfId="33" xr:uid="{2ECEC3A5-DB81-4538-91E2-B20EFC44A914}"/>
    <cellStyle name="Normal 2 5" xfId="34" xr:uid="{B2F5BF84-C7AB-4974-BB0E-B587EC411EE9}"/>
    <cellStyle name="Normal 2_(P2) Base 2007 PPI (M) Q2 2012" xfId="35" xr:uid="{6E71D068-37A4-448E-8768-4B4080352B8F}"/>
    <cellStyle name="Normal 3" xfId="36" xr:uid="{FAB511E9-FCCC-4DB3-A82D-A3538278ECAA}"/>
    <cellStyle name="Normal 3 2" xfId="37" xr:uid="{CEDB536C-FCDF-42B0-8D33-CD9A06806BE5}"/>
    <cellStyle name="Normal 4" xfId="38" xr:uid="{E1C30856-8087-4213-B555-A3F279C73E6D}"/>
    <cellStyle name="Normal 4 2" xfId="39" xr:uid="{DF3B83B1-432A-4B29-9F99-E3381A506F70}"/>
    <cellStyle name="Normal 4 3" xfId="40" xr:uid="{410B9566-E8B0-4CFF-86CC-7EC7DF370DAB}"/>
    <cellStyle name="Normal 5" xfId="41" xr:uid="{B66A1374-5AC9-43F9-94A8-53928971C775}"/>
    <cellStyle name="Normal 5 2" xfId="42" xr:uid="{715A84EF-5D44-47DC-9003-8C22EEF9CD4B}"/>
    <cellStyle name="Normal 5 3" xfId="43" xr:uid="{043ED0B4-D95C-4CD9-8416-763BD7F2EF12}"/>
    <cellStyle name="Normal 6" xfId="44" xr:uid="{3BA8D923-961A-4609-B475-334CC5DDDD0C}"/>
    <cellStyle name="Normal 6 2" xfId="45" xr:uid="{567D4E98-3036-466B-BFF7-488AD955AB43}"/>
    <cellStyle name="Normal 6 3" xfId="46" xr:uid="{C1EE68AF-A675-4201-9B6C-E984E4C174B5}"/>
    <cellStyle name="Normal 6 4" xfId="47" xr:uid="{3E34F061-2F37-4481-82BD-C98FD2921E62}"/>
    <cellStyle name="Normal 6 5" xfId="48" xr:uid="{8369C1DA-B68D-4A47-ACB3-4E545934F509}"/>
    <cellStyle name="Normal 7" xfId="49" xr:uid="{17473A43-C285-4E2A-872D-9A679C233BB9}"/>
    <cellStyle name="Normal 7 2" xfId="50" xr:uid="{30CE7D24-97BC-45C1-870B-C3830A7F9DB9}"/>
    <cellStyle name="Normal 7 3" xfId="51" xr:uid="{CA99C363-8353-42C7-B21E-B6145EA2D70A}"/>
    <cellStyle name="Normal 8" xfId="52" xr:uid="{663D0618-905B-40A1-B8D3-3E2A62156A82}"/>
    <cellStyle name="Normal 9" xfId="53" xr:uid="{0F7803DC-D35D-4FC2-8ED7-2A386F900613}"/>
    <cellStyle name="Normal_01TAB4Q1" xfId="54" xr:uid="{42062E73-0D53-4C45-B2E1-8D48781A51CF}"/>
  </cellStyles>
  <dxfs count="0"/>
  <tableStyles count="1" defaultTableStyle="TableStyleMedium2" defaultPivotStyle="PivotStyleLight16">
    <tableStyle name="Invisible" pivot="0" table="0" count="0" xr9:uid="{F711E2AD-0A6F-4706-8BD9-9D5297CF2C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520700</xdr:colOff>
      <xdr:row>32</xdr:row>
      <xdr:rowOff>1168400</xdr:rowOff>
    </xdr:from>
    <xdr:to>
      <xdr:col>11</xdr:col>
      <xdr:colOff>584200</xdr:colOff>
      <xdr:row>32</xdr:row>
      <xdr:rowOff>1765300</xdr:rowOff>
    </xdr:to>
    <xdr:sp macro="" textlink="">
      <xdr:nvSpPr>
        <xdr:cNvPr id="1027" name="Control 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8</xdr:col>
      <xdr:colOff>520700</xdr:colOff>
      <xdr:row>32</xdr:row>
      <xdr:rowOff>1346200</xdr:rowOff>
    </xdr:from>
    <xdr:to>
      <xdr:col>11</xdr:col>
      <xdr:colOff>584200</xdr:colOff>
      <xdr:row>32</xdr:row>
      <xdr:rowOff>1930400</xdr:rowOff>
    </xdr:to>
    <xdr:sp macro="" textlink="">
      <xdr:nvSpPr>
        <xdr:cNvPr id="1029" name="Control 5" hidden="1">
          <a:extLst>
            <a:ext uri="{63B3BB69-23CF-44E3-9099-C40C66FF867C}">
              <a14:compatExt xmlns:a14="http://schemas.microsoft.com/office/drawing/2010/main" spid="_x0000_s1029"/>
            </a:ex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8</xdr:col>
      <xdr:colOff>520700</xdr:colOff>
      <xdr:row>32</xdr:row>
      <xdr:rowOff>1168400</xdr:rowOff>
    </xdr:from>
    <xdr:to>
      <xdr:col>11</xdr:col>
      <xdr:colOff>584200</xdr:colOff>
      <xdr:row>32</xdr:row>
      <xdr:rowOff>1765300</xdr:rowOff>
    </xdr:to>
    <xdr:pic>
      <xdr:nvPicPr>
        <xdr:cNvPr id="2" name="Control 3">
          <a:extLst>
            <a:ext uri="{FF2B5EF4-FFF2-40B4-BE49-F238E27FC236}">
              <a16:creationId xmlns:a16="http://schemas.microsoft.com/office/drawing/2014/main" id="{2CA9FAA8-9546-04E4-96CF-BC0998E362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5700" y="7708900"/>
          <a:ext cx="2082800" cy="5969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8</xdr:col>
      <xdr:colOff>520700</xdr:colOff>
      <xdr:row>32</xdr:row>
      <xdr:rowOff>1346200</xdr:rowOff>
    </xdr:from>
    <xdr:to>
      <xdr:col>11</xdr:col>
      <xdr:colOff>584200</xdr:colOff>
      <xdr:row>32</xdr:row>
      <xdr:rowOff>1930400</xdr:rowOff>
    </xdr:to>
    <xdr:pic>
      <xdr:nvPicPr>
        <xdr:cNvPr id="3" name="Control 5">
          <a:extLst>
            <a:ext uri="{FF2B5EF4-FFF2-40B4-BE49-F238E27FC236}">
              <a16:creationId xmlns:a16="http://schemas.microsoft.com/office/drawing/2014/main" id="{EF5E3866-3644-A90F-7B7C-B5BC9958976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5700" y="7886700"/>
          <a:ext cx="2082800" cy="5842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63C8-4135-483E-902C-B7FF1408A636}">
  <sheetPr codeName="Sheet1"/>
  <dimension ref="A1:E49"/>
  <sheetViews>
    <sheetView zoomScale="80" zoomScaleNormal="80" workbookViewId="0">
      <pane xSplit="1" topLeftCell="B1" activePane="topRight" state="frozen"/>
      <selection activeCell="A9" sqref="A9"/>
      <selection pane="topRight" activeCell="F26" sqref="F26"/>
    </sheetView>
  </sheetViews>
  <sheetFormatPr baseColWidth="10" defaultColWidth="8.83203125" defaultRowHeight="15"/>
  <cols>
    <col min="1" max="1" width="8.83203125" customWidth="1"/>
    <col min="2" max="2" width="18.1640625" customWidth="1"/>
    <col min="3" max="3" width="25.5" customWidth="1"/>
    <col min="4" max="4" width="32.6640625" customWidth="1"/>
    <col min="5" max="5" width="13.33203125" customWidth="1"/>
  </cols>
  <sheetData>
    <row r="1" spans="1:5" s="3" customFormat="1" ht="52.25" customHeight="1">
      <c r="A1" s="3" t="s">
        <v>0</v>
      </c>
      <c r="B1" s="4" t="s">
        <v>17</v>
      </c>
      <c r="C1" s="3" t="s">
        <v>14</v>
      </c>
      <c r="D1" s="3" t="s">
        <v>57</v>
      </c>
      <c r="E1" s="4" t="s">
        <v>9</v>
      </c>
    </row>
    <row r="3" spans="1:5">
      <c r="A3">
        <v>1995</v>
      </c>
      <c r="B3" s="10"/>
      <c r="C3" s="7">
        <v>70246000000</v>
      </c>
      <c r="E3" s="13">
        <v>17.8</v>
      </c>
    </row>
    <row r="4" spans="1:5">
      <c r="A4">
        <v>1996</v>
      </c>
      <c r="B4" s="10"/>
      <c r="C4" s="7">
        <v>79365000000</v>
      </c>
      <c r="E4" s="13">
        <v>19.71</v>
      </c>
    </row>
    <row r="5" spans="1:5">
      <c r="A5">
        <v>1997</v>
      </c>
      <c r="B5" s="10"/>
      <c r="C5" s="7">
        <v>88175000000</v>
      </c>
      <c r="E5" s="13">
        <v>21.05</v>
      </c>
    </row>
    <row r="6" spans="1:5">
      <c r="A6">
        <v>1998</v>
      </c>
      <c r="B6" s="10"/>
      <c r="C6" s="7">
        <v>100042000000</v>
      </c>
      <c r="D6" s="22">
        <v>75429000000</v>
      </c>
      <c r="E6" s="13">
        <v>23.98</v>
      </c>
    </row>
    <row r="7" spans="1:5">
      <c r="A7">
        <v>1999</v>
      </c>
      <c r="B7" s="10"/>
      <c r="C7" s="7">
        <v>109400000000</v>
      </c>
      <c r="D7" s="22">
        <v>86899000000</v>
      </c>
      <c r="E7" s="13">
        <v>25.15</v>
      </c>
    </row>
    <row r="8" spans="1:5">
      <c r="A8">
        <v>2000</v>
      </c>
      <c r="B8" s="10"/>
      <c r="C8" s="7">
        <v>122410000000</v>
      </c>
      <c r="D8" s="22">
        <v>91486000000</v>
      </c>
      <c r="E8" s="13">
        <v>26.26</v>
      </c>
    </row>
    <row r="9" spans="1:5">
      <c r="A9">
        <v>2001</v>
      </c>
      <c r="B9" s="10"/>
      <c r="C9" s="7">
        <v>134392000000</v>
      </c>
      <c r="D9" s="22">
        <v>105269000000</v>
      </c>
      <c r="E9" s="13">
        <v>29.07</v>
      </c>
    </row>
    <row r="10" spans="1:5">
      <c r="A10">
        <v>2002</v>
      </c>
      <c r="B10" s="10"/>
      <c r="C10" s="7">
        <v>145055000000</v>
      </c>
      <c r="D10" s="22">
        <v>118385000000</v>
      </c>
      <c r="E10" s="13">
        <v>29.96</v>
      </c>
    </row>
    <row r="11" spans="1:5">
      <c r="A11">
        <v>2003</v>
      </c>
      <c r="B11" s="10"/>
      <c r="C11" s="7">
        <v>162291000000</v>
      </c>
      <c r="D11" s="22">
        <v>149565000000</v>
      </c>
      <c r="E11" s="13">
        <v>28.38</v>
      </c>
    </row>
    <row r="12" spans="1:5">
      <c r="A12">
        <v>2004</v>
      </c>
      <c r="B12" s="10">
        <v>4.3</v>
      </c>
      <c r="C12" s="7">
        <v>180908000000</v>
      </c>
      <c r="D12" s="22">
        <v>177761000000</v>
      </c>
      <c r="E12" s="13">
        <v>27.75</v>
      </c>
    </row>
    <row r="13" spans="1:5">
      <c r="A13">
        <v>2005</v>
      </c>
      <c r="B13" s="10">
        <v>2.7</v>
      </c>
      <c r="C13" s="7">
        <v>191393000000</v>
      </c>
      <c r="D13" s="22">
        <v>189440000000</v>
      </c>
      <c r="E13" s="13">
        <v>29.23</v>
      </c>
    </row>
    <row r="14" spans="1:5">
      <c r="A14">
        <v>2006</v>
      </c>
      <c r="B14" s="10">
        <v>5.6</v>
      </c>
      <c r="C14" s="7">
        <v>222870000000</v>
      </c>
      <c r="D14" s="22">
        <v>207521000000</v>
      </c>
      <c r="E14" s="13">
        <v>31.15</v>
      </c>
    </row>
    <row r="15" spans="1:5">
      <c r="A15">
        <v>2007</v>
      </c>
      <c r="B15" s="10">
        <v>5.7</v>
      </c>
      <c r="C15" s="7">
        <v>255211000000</v>
      </c>
      <c r="D15" s="22">
        <v>239318000000</v>
      </c>
      <c r="E15" s="13">
        <v>31.37</v>
      </c>
    </row>
    <row r="16" spans="1:5" ht="13.25" customHeight="1">
      <c r="A16">
        <v>2008</v>
      </c>
      <c r="B16" s="10">
        <v>5.4</v>
      </c>
      <c r="C16" s="7">
        <v>284254000000</v>
      </c>
      <c r="D16" s="22">
        <v>274314000000</v>
      </c>
      <c r="E16" s="13">
        <v>28.361000000000001</v>
      </c>
    </row>
    <row r="17" spans="1:5">
      <c r="A17">
        <v>2009</v>
      </c>
      <c r="B17" s="10">
        <v>3.3</v>
      </c>
      <c r="C17" s="7">
        <v>291756000000</v>
      </c>
      <c r="D17" s="22">
        <v>296480000000</v>
      </c>
      <c r="E17" s="13">
        <v>31.940999999999999</v>
      </c>
    </row>
    <row r="18" spans="1:5">
      <c r="A18">
        <v>2010</v>
      </c>
      <c r="B18" s="10">
        <v>4.4000000000000004</v>
      </c>
      <c r="C18" s="7">
        <v>307957000000</v>
      </c>
      <c r="D18" s="22">
        <v>300231000000</v>
      </c>
      <c r="E18" s="13">
        <v>30.89</v>
      </c>
    </row>
    <row r="19" spans="1:5">
      <c r="A19">
        <v>2011</v>
      </c>
      <c r="B19" s="10">
        <v>4.0999999999999996</v>
      </c>
      <c r="C19" s="7">
        <v>330647000000</v>
      </c>
      <c r="D19" s="22">
        <v>319537000000</v>
      </c>
      <c r="E19" s="13">
        <v>28.75</v>
      </c>
    </row>
    <row r="20" spans="1:5">
      <c r="A20">
        <v>2012</v>
      </c>
      <c r="B20" s="10">
        <v>3.5</v>
      </c>
      <c r="C20" s="7">
        <v>350644000000</v>
      </c>
      <c r="D20" s="22">
        <v>345617000000</v>
      </c>
      <c r="E20" s="13">
        <v>29.93</v>
      </c>
    </row>
    <row r="21" spans="1:5">
      <c r="A21">
        <v>2013</v>
      </c>
      <c r="B21" s="10">
        <v>3.4</v>
      </c>
      <c r="C21" s="7">
        <v>377411000000</v>
      </c>
      <c r="D21" s="22">
        <v>365609000000</v>
      </c>
      <c r="E21" s="13">
        <v>30.658999999999999</v>
      </c>
    </row>
    <row r="22" spans="1:5">
      <c r="A22">
        <v>2014</v>
      </c>
      <c r="B22" s="10">
        <v>3.8</v>
      </c>
      <c r="C22" s="7">
        <v>400351000000</v>
      </c>
      <c r="D22" s="22">
        <v>397557000000</v>
      </c>
      <c r="E22" s="13">
        <v>30.617000000000001</v>
      </c>
    </row>
    <row r="23" spans="1:5">
      <c r="A23">
        <v>2015</v>
      </c>
      <c r="B23" s="10">
        <v>3.7</v>
      </c>
      <c r="C23" s="7">
        <v>420936000000</v>
      </c>
      <c r="D23" s="22">
        <v>437999000000</v>
      </c>
      <c r="E23" s="13">
        <v>35.122</v>
      </c>
    </row>
    <row r="24" spans="1:5">
      <c r="A24">
        <v>2016</v>
      </c>
      <c r="B24" s="10">
        <v>3.9</v>
      </c>
      <c r="C24" s="7">
        <v>447620000000</v>
      </c>
      <c r="D24" s="22">
        <v>477789000000</v>
      </c>
      <c r="E24" s="13">
        <v>35.845201839826842</v>
      </c>
    </row>
    <row r="25" spans="1:5">
      <c r="A25">
        <v>2017</v>
      </c>
      <c r="B25" s="10">
        <v>3.9</v>
      </c>
      <c r="C25" s="7">
        <v>472861000000</v>
      </c>
      <c r="D25" s="23">
        <v>522083000000</v>
      </c>
      <c r="E25" s="13">
        <v>34.779334788790351</v>
      </c>
    </row>
    <row r="26" spans="1:5">
      <c r="A26">
        <v>2018</v>
      </c>
      <c r="B26" s="10">
        <v>4</v>
      </c>
      <c r="C26" s="7">
        <v>500047000000</v>
      </c>
      <c r="D26" s="23">
        <v>554893000000</v>
      </c>
      <c r="E26" s="13">
        <v>34.1547718851496</v>
      </c>
    </row>
    <row r="27" spans="1:5">
      <c r="A27">
        <v>2019</v>
      </c>
      <c r="B27" s="10">
        <v>2.9</v>
      </c>
      <c r="C27" s="7">
        <v>512108000000</v>
      </c>
      <c r="D27" s="23">
        <v>601973000000</v>
      </c>
      <c r="E27" s="13">
        <v>35.584477946760842</v>
      </c>
    </row>
    <row r="28" spans="1:5">
      <c r="A28">
        <v>2020</v>
      </c>
      <c r="B28" s="10">
        <v>-14.5</v>
      </c>
      <c r="C28" s="7">
        <v>448874000000</v>
      </c>
      <c r="D28" s="23">
        <v>703593000000</v>
      </c>
      <c r="E28" s="13">
        <v>39.133586951155891</v>
      </c>
    </row>
    <row r="29" spans="1:5">
      <c r="A29">
        <v>2021</v>
      </c>
      <c r="B29" s="10">
        <v>3.4</v>
      </c>
      <c r="C29" s="7">
        <v>478807000000</v>
      </c>
      <c r="D29" s="22">
        <v>765847000000</v>
      </c>
      <c r="E29" s="13">
        <v>41.397073260803523</v>
      </c>
    </row>
    <row r="30" spans="1:5">
      <c r="A30">
        <v>2022</v>
      </c>
      <c r="B30" s="10">
        <v>8.6999999999999993</v>
      </c>
      <c r="C30" s="7">
        <v>570301000000</v>
      </c>
      <c r="D30" s="22">
        <v>806105000000</v>
      </c>
      <c r="E30" s="13">
        <v>43.814463522588525</v>
      </c>
    </row>
    <row r="31" spans="1:5">
      <c r="A31">
        <v>2023</v>
      </c>
      <c r="B31" s="10">
        <v>5</v>
      </c>
      <c r="C31" s="7">
        <v>641331000000</v>
      </c>
      <c r="D31" s="22">
        <v>864674000000</v>
      </c>
      <c r="E31" s="13">
        <v>44.981078094804801</v>
      </c>
    </row>
    <row r="32" spans="1:5">
      <c r="A32">
        <v>2024</v>
      </c>
      <c r="B32" s="10">
        <v>4.7</v>
      </c>
      <c r="C32" s="7">
        <v>698537000000</v>
      </c>
      <c r="D32" s="22">
        <v>974169000000</v>
      </c>
      <c r="E32" s="13"/>
    </row>
    <row r="33" spans="2:4" s="19" customFormat="1" ht="200.5" customHeight="1">
      <c r="B33" s="15" t="s">
        <v>18</v>
      </c>
      <c r="C33" s="15" t="s">
        <v>18</v>
      </c>
      <c r="D33" s="15" t="s">
        <v>58</v>
      </c>
    </row>
    <row r="34" spans="2:4" s="19" customFormat="1"/>
    <row r="35" spans="2:4" s="19" customFormat="1"/>
    <row r="36" spans="2:4" s="19" customFormat="1"/>
    <row r="37" spans="2:4" s="19" customFormat="1"/>
    <row r="38" spans="2:4" s="19" customFormat="1"/>
    <row r="39" spans="2:4" s="19" customFormat="1"/>
    <row r="40" spans="2:4" s="19" customFormat="1"/>
    <row r="41" spans="2:4" s="19" customFormat="1"/>
    <row r="42" spans="2:4" s="19" customFormat="1"/>
    <row r="43" spans="2:4" s="19" customFormat="1"/>
    <row r="44" spans="2:4" s="19" customFormat="1"/>
    <row r="45" spans="2:4" s="19" customFormat="1"/>
    <row r="46" spans="2:4" s="19" customFormat="1"/>
    <row r="47" spans="2:4" s="19" customFormat="1"/>
    <row r="48" spans="2:4" s="19" customFormat="1"/>
    <row r="49" s="19" customFormat="1"/>
  </sheetData>
  <phoneticPr fontId="21" type="noConversion"/>
  <pageMargins left="0.70000000000000007" right="0.70000000000000007" top="0.75" bottom="0.75" header="0.30000000000000004" footer="0.30000000000000004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07CB-DF20-40F5-BBDB-3A19777A9009}">
  <dimension ref="A1:F48"/>
  <sheetViews>
    <sheetView zoomScale="107" workbookViewId="0">
      <selection activeCell="H7" sqref="H7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18.5" customWidth="1"/>
    <col min="6" max="6" width="16.5" customWidth="1"/>
  </cols>
  <sheetData>
    <row r="1" spans="1:6" ht="32">
      <c r="A1" s="3" t="s">
        <v>0</v>
      </c>
      <c r="B1" s="4" t="s">
        <v>68</v>
      </c>
      <c r="C1" s="3" t="s">
        <v>69</v>
      </c>
      <c r="D1" s="4" t="s">
        <v>10</v>
      </c>
      <c r="E1" s="4" t="s">
        <v>59</v>
      </c>
      <c r="F1" s="4" t="s">
        <v>60</v>
      </c>
    </row>
    <row r="2" spans="1:6">
      <c r="A2" s="6">
        <v>1995</v>
      </c>
      <c r="B2" s="46">
        <v>4.3</v>
      </c>
      <c r="C2" s="47">
        <v>70246000000</v>
      </c>
      <c r="D2" s="6">
        <v>303.38935623168783</v>
      </c>
      <c r="E2" s="47">
        <f t="shared" ref="E2:F5" si="0">E3-((E$28-E$7)/($A$28-$A$7))</f>
        <v>13285714.28571558</v>
      </c>
      <c r="F2" s="47">
        <v>0</v>
      </c>
    </row>
    <row r="3" spans="1:6">
      <c r="A3" s="6">
        <v>1996</v>
      </c>
      <c r="B3" s="46">
        <v>4.3</v>
      </c>
      <c r="C3" s="47">
        <v>79365000000</v>
      </c>
      <c r="D3" s="6">
        <v>406.74009330000007</v>
      </c>
      <c r="E3" s="47">
        <f t="shared" si="0"/>
        <v>1631428571.4285727</v>
      </c>
      <c r="F3" s="47">
        <v>0</v>
      </c>
    </row>
    <row r="4" spans="1:6">
      <c r="A4" s="6">
        <v>1997</v>
      </c>
      <c r="B4" s="46">
        <v>4.3</v>
      </c>
      <c r="C4" s="47">
        <v>88175000000</v>
      </c>
      <c r="D4" s="6">
        <v>402.44478120803683</v>
      </c>
      <c r="E4" s="47">
        <f t="shared" si="0"/>
        <v>3249571428.5714297</v>
      </c>
      <c r="F4" s="47">
        <v>0</v>
      </c>
    </row>
    <row r="5" spans="1:6">
      <c r="A5" s="6">
        <v>1998</v>
      </c>
      <c r="B5" s="46">
        <v>4.3</v>
      </c>
      <c r="C5" s="47">
        <v>100042000000</v>
      </c>
      <c r="D5" s="6">
        <v>306.46075740814007</v>
      </c>
      <c r="E5" s="47">
        <f t="shared" si="0"/>
        <v>4867714285.7142868</v>
      </c>
      <c r="F5" s="47">
        <f t="shared" si="0"/>
        <v>89380952.380952373</v>
      </c>
    </row>
    <row r="6" spans="1:6">
      <c r="A6" s="6">
        <v>1999</v>
      </c>
      <c r="B6" s="46">
        <v>4.3</v>
      </c>
      <c r="C6" s="47">
        <v>109400000000</v>
      </c>
      <c r="D6" s="6">
        <v>449.2286161422706</v>
      </c>
      <c r="E6" s="47">
        <f>E7-((E$28-E$7)/($A$28-$A$7))</f>
        <v>6485857142.8571434</v>
      </c>
      <c r="F6" s="47">
        <f>F7-((F$28-F$7)/($A$28-$A$7))</f>
        <v>188190476.19047618</v>
      </c>
    </row>
    <row r="7" spans="1:6">
      <c r="A7" s="6">
        <v>2000</v>
      </c>
      <c r="B7" s="46">
        <v>4.3</v>
      </c>
      <c r="C7" s="47">
        <v>122410000000</v>
      </c>
      <c r="D7" s="6">
        <v>749.41969700000004</v>
      </c>
      <c r="E7" s="47">
        <v>8104000000</v>
      </c>
      <c r="F7" s="47">
        <v>287000000</v>
      </c>
    </row>
    <row r="8" spans="1:6">
      <c r="A8" s="6">
        <v>2001</v>
      </c>
      <c r="B8" s="46">
        <v>4.3</v>
      </c>
      <c r="C8" s="47">
        <v>134392000000</v>
      </c>
      <c r="D8" s="6">
        <v>711.30922393798608</v>
      </c>
      <c r="E8" s="47">
        <v>8291000000</v>
      </c>
      <c r="F8" s="47">
        <v>323000000</v>
      </c>
    </row>
    <row r="9" spans="1:6">
      <c r="A9" s="6">
        <v>2002</v>
      </c>
      <c r="B9" s="46">
        <v>4.3</v>
      </c>
      <c r="C9" s="47">
        <v>145055000000</v>
      </c>
      <c r="D9" s="6">
        <v>748.55898879999995</v>
      </c>
      <c r="E9" s="47">
        <v>8447000000</v>
      </c>
      <c r="F9" s="47">
        <v>364000000</v>
      </c>
    </row>
    <row r="10" spans="1:6">
      <c r="A10" s="6">
        <v>2003</v>
      </c>
      <c r="B10" s="46">
        <v>4.3</v>
      </c>
      <c r="C10" s="47">
        <v>162291000000</v>
      </c>
      <c r="D10" s="6">
        <v>819.73194774627484</v>
      </c>
      <c r="E10" s="47">
        <v>8832000000</v>
      </c>
      <c r="F10" s="47">
        <v>361000000</v>
      </c>
    </row>
    <row r="11" spans="1:6">
      <c r="A11" s="6">
        <v>2004</v>
      </c>
      <c r="B11" s="46">
        <v>4.3</v>
      </c>
      <c r="C11" s="47">
        <v>180908000000</v>
      </c>
      <c r="D11" s="6">
        <v>1059.6982555389382</v>
      </c>
      <c r="E11" s="47">
        <v>12081000000</v>
      </c>
      <c r="F11" s="47">
        <v>495000000</v>
      </c>
    </row>
    <row r="12" spans="1:6">
      <c r="A12" s="6">
        <v>2005</v>
      </c>
      <c r="B12" s="46">
        <v>2.7</v>
      </c>
      <c r="C12" s="47">
        <v>191393000000</v>
      </c>
      <c r="D12" s="6">
        <v>1591.1083292770368</v>
      </c>
      <c r="E12" s="47">
        <v>17491000000</v>
      </c>
      <c r="F12" s="47">
        <v>632000000</v>
      </c>
    </row>
    <row r="13" spans="1:6">
      <c r="A13" s="6">
        <v>2006</v>
      </c>
      <c r="B13" s="46">
        <v>5.6</v>
      </c>
      <c r="C13" s="47">
        <v>222870000000</v>
      </c>
      <c r="D13" s="6">
        <v>2028.6225679999998</v>
      </c>
      <c r="E13" s="47">
        <v>22090000000</v>
      </c>
      <c r="F13" s="47">
        <v>925000000</v>
      </c>
    </row>
    <row r="14" spans="1:6">
      <c r="A14" s="6">
        <v>2007</v>
      </c>
      <c r="B14" s="46">
        <v>5.7</v>
      </c>
      <c r="C14" s="47">
        <v>255211000000</v>
      </c>
      <c r="D14" s="6">
        <v>2273.5649048999999</v>
      </c>
      <c r="E14" s="47">
        <v>25549000000</v>
      </c>
      <c r="F14" s="47">
        <v>945000000</v>
      </c>
    </row>
    <row r="15" spans="1:6">
      <c r="A15" s="6">
        <v>2008</v>
      </c>
      <c r="B15" s="46">
        <v>5.4</v>
      </c>
      <c r="C15" s="47">
        <v>284254000000</v>
      </c>
      <c r="D15" s="6">
        <v>2749.9035471400002</v>
      </c>
      <c r="E15" s="47">
        <v>32172000000</v>
      </c>
      <c r="F15" s="47">
        <v>948000000</v>
      </c>
    </row>
    <row r="16" spans="1:6">
      <c r="A16" s="6">
        <v>2009</v>
      </c>
      <c r="B16" s="46">
        <v>3.3</v>
      </c>
      <c r="C16" s="47">
        <v>291756000000</v>
      </c>
      <c r="D16" s="6">
        <v>1963.0787219467156</v>
      </c>
      <c r="E16" s="47">
        <v>21731000000</v>
      </c>
      <c r="F16" s="47">
        <v>991000000</v>
      </c>
    </row>
    <row r="17" spans="1:6">
      <c r="A17" s="6">
        <v>2010</v>
      </c>
      <c r="B17" s="46">
        <v>4.4000000000000004</v>
      </c>
      <c r="C17" s="47">
        <v>307957000000</v>
      </c>
      <c r="D17" s="6">
        <v>2455.0219803</v>
      </c>
      <c r="E17" s="47">
        <v>28918000000</v>
      </c>
      <c r="F17" s="47">
        <v>885000000</v>
      </c>
    </row>
    <row r="18" spans="1:6">
      <c r="A18" s="6">
        <v>2011</v>
      </c>
      <c r="B18" s="46">
        <v>4.0999999999999996</v>
      </c>
      <c r="C18" s="47">
        <v>330647000000</v>
      </c>
      <c r="D18" s="6">
        <v>3198.0323696136252</v>
      </c>
      <c r="E18" s="47">
        <v>36860000000</v>
      </c>
      <c r="F18" s="47">
        <v>1298000000</v>
      </c>
    </row>
    <row r="19" spans="1:6">
      <c r="A19" s="6">
        <v>2012</v>
      </c>
      <c r="B19" s="46">
        <v>3.5</v>
      </c>
      <c r="C19" s="47">
        <v>350644000000</v>
      </c>
      <c r="D19" s="6">
        <v>3342.3874001312224</v>
      </c>
      <c r="E19" s="47">
        <v>38446000000</v>
      </c>
      <c r="F19" s="47">
        <v>1230000000</v>
      </c>
    </row>
    <row r="20" spans="1:6">
      <c r="A20" s="6">
        <v>2013</v>
      </c>
      <c r="B20" s="46">
        <v>3.4</v>
      </c>
      <c r="C20" s="47">
        <v>377411000000</v>
      </c>
      <c r="D20" s="6">
        <v>3331.6168691940029</v>
      </c>
      <c r="E20" s="47">
        <v>40055000000</v>
      </c>
      <c r="F20" s="47">
        <v>1013000000</v>
      </c>
    </row>
    <row r="21" spans="1:6">
      <c r="A21" s="6">
        <v>2014</v>
      </c>
      <c r="B21" s="46">
        <v>3.8</v>
      </c>
      <c r="C21" s="47">
        <v>400351000000</v>
      </c>
      <c r="D21" s="6">
        <v>3031.2143469299999</v>
      </c>
      <c r="E21" s="47">
        <v>37071000000</v>
      </c>
      <c r="F21" s="47">
        <v>1131000000</v>
      </c>
    </row>
    <row r="22" spans="1:6">
      <c r="A22" s="6">
        <v>2015</v>
      </c>
      <c r="B22" s="46">
        <v>3.7</v>
      </c>
      <c r="C22" s="47">
        <v>420936000000</v>
      </c>
      <c r="D22" s="6">
        <v>1838.75892456</v>
      </c>
      <c r="E22" s="47">
        <v>29753000000</v>
      </c>
      <c r="F22" s="47">
        <v>1127000000</v>
      </c>
    </row>
    <row r="23" spans="1:6">
      <c r="A23" s="6">
        <v>2016</v>
      </c>
      <c r="B23" s="46">
        <v>3.9</v>
      </c>
      <c r="C23" s="47">
        <v>447620000000</v>
      </c>
      <c r="D23" s="6">
        <v>1563.4276456467517</v>
      </c>
      <c r="E23" s="47">
        <v>26579000000</v>
      </c>
      <c r="F23" s="47">
        <v>1380000000</v>
      </c>
    </row>
    <row r="24" spans="1:6">
      <c r="A24" s="6">
        <v>2017</v>
      </c>
      <c r="B24" s="46">
        <v>3.9</v>
      </c>
      <c r="C24" s="47">
        <v>472861000000</v>
      </c>
      <c r="D24" s="6">
        <v>1887.2762567793561</v>
      </c>
      <c r="E24" s="47">
        <v>35213000000</v>
      </c>
      <c r="F24" s="47">
        <v>2043000000</v>
      </c>
    </row>
    <row r="25" spans="1:6">
      <c r="A25" s="6">
        <v>2018</v>
      </c>
      <c r="B25" s="46">
        <v>4</v>
      </c>
      <c r="C25" s="47">
        <v>500047000000</v>
      </c>
      <c r="D25" s="6">
        <v>2132.7660403597833</v>
      </c>
      <c r="E25" s="47">
        <v>42973000000</v>
      </c>
      <c r="F25" s="47">
        <v>1486000000</v>
      </c>
    </row>
    <row r="26" spans="1:6">
      <c r="A26" s="6">
        <v>2019</v>
      </c>
      <c r="B26" s="46">
        <v>2.9</v>
      </c>
      <c r="C26" s="47">
        <v>512108000000</v>
      </c>
      <c r="D26" s="6">
        <v>2200.7277321338956</v>
      </c>
      <c r="E26" s="47">
        <v>41371000000</v>
      </c>
      <c r="F26" s="47">
        <v>1624000000</v>
      </c>
    </row>
    <row r="27" spans="1:6">
      <c r="A27" s="6">
        <v>2020</v>
      </c>
      <c r="B27" s="46">
        <v>-14.5</v>
      </c>
      <c r="C27" s="47">
        <v>448874000000</v>
      </c>
      <c r="D27" s="6">
        <v>2545.7822774291931</v>
      </c>
      <c r="E27" s="47">
        <v>28440000000</v>
      </c>
      <c r="F27" s="47">
        <v>1580000000</v>
      </c>
    </row>
    <row r="28" spans="1:6">
      <c r="A28" s="6">
        <v>2021</v>
      </c>
      <c r="B28" s="46">
        <v>3.4</v>
      </c>
      <c r="C28" s="47">
        <v>478807000000</v>
      </c>
      <c r="D28" s="6">
        <v>2746.8388207631592</v>
      </c>
      <c r="E28" s="47">
        <v>42085000000</v>
      </c>
      <c r="F28" s="47">
        <v>2362000000</v>
      </c>
    </row>
    <row r="29" spans="1:6">
      <c r="B29" s="10"/>
      <c r="C29" s="7"/>
      <c r="E29" s="7"/>
      <c r="F29" s="7"/>
    </row>
    <row r="30" spans="1:6">
      <c r="B30" s="10"/>
      <c r="C30" s="7"/>
      <c r="E30" s="7"/>
      <c r="F30" s="7"/>
    </row>
    <row r="31" spans="1:6">
      <c r="B31" s="10"/>
      <c r="C31" s="7"/>
      <c r="E31" s="7"/>
      <c r="F31" s="7"/>
    </row>
    <row r="32" spans="1:6">
      <c r="A32" s="19"/>
      <c r="B32" s="15"/>
      <c r="C32" s="15"/>
      <c r="D32" s="19"/>
      <c r="E32" s="18"/>
      <c r="F32" s="15"/>
    </row>
    <row r="33" spans="1:6">
      <c r="A33" s="19"/>
      <c r="B33" s="19"/>
      <c r="C33" s="19"/>
      <c r="D33" s="19"/>
      <c r="F33" s="19"/>
    </row>
    <row r="34" spans="1:6">
      <c r="A34" s="19"/>
      <c r="B34" s="19"/>
      <c r="C34" s="19"/>
      <c r="D34" s="19"/>
      <c r="F34" s="19"/>
    </row>
    <row r="35" spans="1:6">
      <c r="A35" s="19"/>
      <c r="B35" s="19"/>
      <c r="C35" s="19"/>
      <c r="D35" s="19"/>
      <c r="E35" s="19"/>
      <c r="F35" s="19"/>
    </row>
    <row r="36" spans="1:6">
      <c r="A36" s="19"/>
      <c r="B36" s="19"/>
      <c r="C36" s="19"/>
      <c r="D36" s="19"/>
      <c r="E36" s="19"/>
      <c r="F36" s="19"/>
    </row>
    <row r="37" spans="1:6">
      <c r="A37" s="19"/>
      <c r="B37" s="19"/>
      <c r="C37" s="19"/>
      <c r="D37" s="19"/>
      <c r="E37" s="19"/>
      <c r="F37" s="19"/>
    </row>
    <row r="38" spans="1:6">
      <c r="A38" s="19"/>
      <c r="B38" s="19"/>
      <c r="C38" s="19"/>
      <c r="D38" s="19"/>
      <c r="E38" s="19"/>
      <c r="F38" s="19"/>
    </row>
    <row r="39" spans="1:6">
      <c r="A39" s="19"/>
      <c r="B39" s="19"/>
      <c r="C39" s="19"/>
      <c r="D39" s="19"/>
      <c r="E39" s="19"/>
      <c r="F39" s="19"/>
    </row>
    <row r="40" spans="1:6">
      <c r="A40" s="19"/>
      <c r="B40" s="19"/>
      <c r="C40" s="19"/>
      <c r="D40" s="19"/>
      <c r="E40" s="19"/>
      <c r="F40" s="19"/>
    </row>
    <row r="41" spans="1:6">
      <c r="A41" s="19"/>
      <c r="B41" s="19"/>
      <c r="C41" s="19"/>
      <c r="D41" s="19"/>
      <c r="E41" s="19"/>
      <c r="F41" s="19"/>
    </row>
    <row r="42" spans="1:6">
      <c r="A42" s="19"/>
      <c r="B42" s="19"/>
      <c r="C42" s="19"/>
      <c r="D42" s="19"/>
      <c r="E42" s="19"/>
      <c r="F42" s="19"/>
    </row>
    <row r="43" spans="1:6">
      <c r="A43" s="19"/>
      <c r="B43" s="19"/>
      <c r="C43" s="19"/>
      <c r="D43" s="19"/>
      <c r="E43" s="19"/>
      <c r="F43" s="19"/>
    </row>
    <row r="44" spans="1:6">
      <c r="A44" s="19"/>
      <c r="B44" s="19"/>
      <c r="C44" s="19"/>
      <c r="D44" s="19"/>
      <c r="E44" s="19"/>
      <c r="F44" s="19"/>
    </row>
    <row r="45" spans="1:6">
      <c r="A45" s="19"/>
      <c r="B45" s="19"/>
      <c r="C45" s="19"/>
      <c r="D45" s="19"/>
      <c r="E45" s="19"/>
      <c r="F45" s="19"/>
    </row>
    <row r="46" spans="1:6">
      <c r="A46" s="19"/>
      <c r="B46" s="19"/>
      <c r="C46" s="19"/>
      <c r="D46" s="19"/>
      <c r="E46" s="19"/>
      <c r="F46" s="19"/>
    </row>
    <row r="47" spans="1:6">
      <c r="A47" s="19"/>
      <c r="B47" s="19"/>
      <c r="C47" s="19"/>
      <c r="D47" s="19"/>
      <c r="E47" s="19"/>
      <c r="F47" s="19"/>
    </row>
    <row r="48" spans="1:6">
      <c r="A48" s="19"/>
      <c r="B48" s="19"/>
      <c r="C48" s="19"/>
      <c r="D48" s="19"/>
      <c r="E48" s="19"/>
      <c r="F48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082C-82A0-4F57-A082-19EDF7B54027}">
  <dimension ref="A1:G48"/>
  <sheetViews>
    <sheetView zoomScale="141" workbookViewId="0">
      <selection activeCell="B11" sqref="B2:B11"/>
    </sheetView>
  </sheetViews>
  <sheetFormatPr baseColWidth="10" defaultColWidth="8.83203125" defaultRowHeight="15"/>
  <cols>
    <col min="2" max="2" width="18.1640625" customWidth="1"/>
    <col min="3" max="3" width="25.5" customWidth="1"/>
    <col min="4" max="5" width="16.5" customWidth="1"/>
    <col min="6" max="6" width="22.5" customWidth="1"/>
    <col min="7" max="7" width="16.5" customWidth="1"/>
  </cols>
  <sheetData>
    <row r="1" spans="1:7" ht="32">
      <c r="A1" s="3" t="s">
        <v>0</v>
      </c>
      <c r="B1" s="4" t="s">
        <v>68</v>
      </c>
      <c r="C1" s="3" t="s">
        <v>69</v>
      </c>
      <c r="D1" s="3" t="s">
        <v>3</v>
      </c>
      <c r="E1" s="3" t="s">
        <v>4</v>
      </c>
      <c r="F1" s="5" t="s">
        <v>53</v>
      </c>
      <c r="G1" s="3" t="s">
        <v>16</v>
      </c>
    </row>
    <row r="2" spans="1:7" ht="16">
      <c r="A2" s="6">
        <v>1995</v>
      </c>
      <c r="B2" s="46">
        <v>4.3</v>
      </c>
      <c r="C2" s="47">
        <v>70246000000</v>
      </c>
      <c r="D2" s="6">
        <v>475000</v>
      </c>
      <c r="E2" s="6">
        <v>9800</v>
      </c>
      <c r="F2" s="48">
        <v>4.410237244068882</v>
      </c>
      <c r="G2" s="6">
        <v>24300</v>
      </c>
    </row>
    <row r="3" spans="1:7" ht="16">
      <c r="A3" s="6">
        <v>1996</v>
      </c>
      <c r="B3" s="46">
        <v>4.3</v>
      </c>
      <c r="C3" s="47">
        <v>79365000000</v>
      </c>
      <c r="D3" s="6">
        <v>482300</v>
      </c>
      <c r="E3" s="6">
        <v>8200</v>
      </c>
      <c r="F3" s="48">
        <v>5.4347386534739028</v>
      </c>
      <c r="G3" s="6">
        <v>27900</v>
      </c>
    </row>
    <row r="4" spans="1:7" ht="16">
      <c r="A4" s="6">
        <v>1997</v>
      </c>
      <c r="B4" s="46">
        <v>4.3</v>
      </c>
      <c r="C4" s="47">
        <v>88175000000</v>
      </c>
      <c r="D4" s="6">
        <v>490800</v>
      </c>
      <c r="E4" s="6">
        <v>8600</v>
      </c>
      <c r="F4" s="48">
        <v>4.2102313733814123</v>
      </c>
      <c r="G4" s="6">
        <v>32200</v>
      </c>
    </row>
    <row r="5" spans="1:7" ht="16">
      <c r="A5" s="6">
        <v>1998</v>
      </c>
      <c r="B5" s="46">
        <v>4.3</v>
      </c>
      <c r="C5" s="47">
        <v>100042000000</v>
      </c>
      <c r="D5" s="6">
        <v>499400</v>
      </c>
      <c r="E5" s="6">
        <v>10000</v>
      </c>
      <c r="F5" s="48">
        <v>4.3273260073259934</v>
      </c>
      <c r="G5" s="6">
        <v>34400</v>
      </c>
    </row>
    <row r="6" spans="1:7" ht="16">
      <c r="A6" s="6">
        <v>1999</v>
      </c>
      <c r="B6" s="46">
        <v>4.3</v>
      </c>
      <c r="C6" s="47">
        <v>109400000000</v>
      </c>
      <c r="D6" s="6">
        <v>506600</v>
      </c>
      <c r="E6" s="6">
        <v>12900</v>
      </c>
      <c r="F6" s="48">
        <v>1.0529832193909572</v>
      </c>
      <c r="G6" s="6">
        <v>39000</v>
      </c>
    </row>
    <row r="7" spans="1:7" ht="16">
      <c r="A7" s="6">
        <v>2000</v>
      </c>
      <c r="B7" s="46">
        <v>4.3</v>
      </c>
      <c r="C7" s="47">
        <v>122410000000</v>
      </c>
      <c r="D7" s="6">
        <v>503000</v>
      </c>
      <c r="E7" s="6">
        <v>14600</v>
      </c>
      <c r="F7" s="48">
        <v>9.7000206228088359</v>
      </c>
      <c r="G7" s="6">
        <v>32700</v>
      </c>
    </row>
    <row r="8" spans="1:7" ht="16">
      <c r="A8" s="6">
        <v>2001</v>
      </c>
      <c r="B8" s="46">
        <v>4.3</v>
      </c>
      <c r="C8" s="47">
        <v>134392000000</v>
      </c>
      <c r="D8" s="6">
        <v>505800</v>
      </c>
      <c r="E8" s="6">
        <v>16500</v>
      </c>
      <c r="F8" s="48">
        <v>4.1061986863710764</v>
      </c>
      <c r="G8" s="6">
        <v>35100</v>
      </c>
    </row>
    <row r="9" spans="1:7" ht="16">
      <c r="A9" s="6">
        <v>2002</v>
      </c>
      <c r="B9" s="46">
        <v>4.3</v>
      </c>
      <c r="C9" s="47">
        <v>145055000000</v>
      </c>
      <c r="D9" s="6">
        <v>509800</v>
      </c>
      <c r="E9" s="6">
        <v>17000</v>
      </c>
      <c r="F9" s="48">
        <v>1.391888570258093</v>
      </c>
      <c r="G9" s="6">
        <v>38600</v>
      </c>
    </row>
    <row r="10" spans="1:7" ht="16">
      <c r="A10" s="6">
        <v>2003</v>
      </c>
      <c r="B10" s="46">
        <v>4.3</v>
      </c>
      <c r="C10" s="47">
        <v>162291000000</v>
      </c>
      <c r="D10" s="6">
        <v>514100</v>
      </c>
      <c r="E10" s="6">
        <v>18200</v>
      </c>
      <c r="F10" s="48">
        <v>5.8662994696042636</v>
      </c>
      <c r="G10" s="6">
        <v>42100</v>
      </c>
    </row>
    <row r="11" spans="1:7" ht="16">
      <c r="A11" s="6">
        <v>2004</v>
      </c>
      <c r="B11" s="46">
        <v>4.3</v>
      </c>
      <c r="C11" s="47">
        <v>180908000000</v>
      </c>
      <c r="D11" s="6">
        <v>519000</v>
      </c>
      <c r="E11" s="6">
        <v>17500</v>
      </c>
      <c r="F11" s="48">
        <v>3.7497159090908783</v>
      </c>
      <c r="G11" s="6">
        <v>43700</v>
      </c>
    </row>
    <row r="12" spans="1:7" ht="16">
      <c r="A12" s="6">
        <v>2005</v>
      </c>
      <c r="B12" s="46">
        <v>2.7</v>
      </c>
      <c r="C12" s="47">
        <v>191393000000</v>
      </c>
      <c r="D12" s="6">
        <v>528600</v>
      </c>
      <c r="E12" s="6">
        <v>16600</v>
      </c>
      <c r="F12" s="48">
        <v>2.3055589246007369</v>
      </c>
      <c r="G12" s="6">
        <v>50500</v>
      </c>
    </row>
    <row r="13" spans="1:7" ht="16">
      <c r="A13" s="6">
        <v>2006</v>
      </c>
      <c r="B13" s="46">
        <v>5.6</v>
      </c>
      <c r="C13" s="47">
        <v>222870000000</v>
      </c>
      <c r="D13" s="6">
        <v>532400</v>
      </c>
      <c r="E13" s="6">
        <v>16700</v>
      </c>
      <c r="F13" s="48">
        <v>4.2720958083832805</v>
      </c>
      <c r="G13" s="6">
        <v>48100</v>
      </c>
    </row>
    <row r="14" spans="1:7" ht="16">
      <c r="A14" s="6">
        <v>2007</v>
      </c>
      <c r="B14" s="46">
        <v>5.7</v>
      </c>
      <c r="C14" s="47">
        <v>255211000000</v>
      </c>
      <c r="D14" s="6">
        <v>527500</v>
      </c>
      <c r="E14" s="6">
        <v>21600</v>
      </c>
      <c r="F14" s="48">
        <v>4.8881839809674865</v>
      </c>
      <c r="G14" s="6">
        <v>44700</v>
      </c>
    </row>
    <row r="15" spans="1:7" ht="16">
      <c r="A15" s="6">
        <v>2008</v>
      </c>
      <c r="B15" s="46">
        <v>5.4</v>
      </c>
      <c r="C15" s="47">
        <v>284254000000</v>
      </c>
      <c r="D15" s="6">
        <v>531800</v>
      </c>
      <c r="E15" s="6">
        <v>24000</v>
      </c>
      <c r="F15" s="48">
        <v>2.5947846242997619</v>
      </c>
      <c r="G15" s="6">
        <v>38100</v>
      </c>
    </row>
    <row r="16" spans="1:7" ht="16">
      <c r="A16" s="6">
        <v>2009</v>
      </c>
      <c r="B16" s="46">
        <v>3.3</v>
      </c>
      <c r="C16" s="47">
        <v>291756000000</v>
      </c>
      <c r="D16" s="6">
        <v>540200</v>
      </c>
      <c r="E16" s="6">
        <v>21000</v>
      </c>
      <c r="F16" s="48">
        <v>2.5678865683081087</v>
      </c>
      <c r="G16" s="6">
        <v>39300</v>
      </c>
    </row>
    <row r="17" spans="1:7" ht="16">
      <c r="A17" s="6">
        <v>2010</v>
      </c>
      <c r="B17" s="46">
        <v>4.4000000000000004</v>
      </c>
      <c r="C17" s="47">
        <v>307957000000</v>
      </c>
      <c r="D17" s="6">
        <v>551900</v>
      </c>
      <c r="E17" s="6">
        <v>22000</v>
      </c>
      <c r="F17" s="48">
        <v>2.5739138611999168</v>
      </c>
      <c r="G17" s="6">
        <v>42200</v>
      </c>
    </row>
    <row r="18" spans="1:7" ht="16">
      <c r="A18" s="6">
        <v>2011</v>
      </c>
      <c r="B18" s="46">
        <v>4.0999999999999996</v>
      </c>
      <c r="C18" s="47">
        <v>330647000000</v>
      </c>
      <c r="D18" s="6">
        <v>548600</v>
      </c>
      <c r="E18" s="6">
        <v>23000</v>
      </c>
      <c r="F18" s="48">
        <v>4.450047267914603</v>
      </c>
      <c r="G18" s="6">
        <v>42700</v>
      </c>
    </row>
    <row r="19" spans="1:7" ht="16">
      <c r="A19" s="6">
        <v>2012</v>
      </c>
      <c r="B19" s="46">
        <v>3.5</v>
      </c>
      <c r="C19" s="47">
        <v>350644000000</v>
      </c>
      <c r="D19" s="6">
        <v>556300</v>
      </c>
      <c r="E19" s="6">
        <v>24000</v>
      </c>
      <c r="F19" s="48">
        <v>2.2849355982825781</v>
      </c>
      <c r="G19" s="6">
        <v>44600</v>
      </c>
    </row>
    <row r="20" spans="1:7" ht="16">
      <c r="A20" s="6">
        <v>2013</v>
      </c>
      <c r="B20" s="46">
        <v>3.4</v>
      </c>
      <c r="C20" s="47">
        <v>377411000000</v>
      </c>
      <c r="D20" s="6">
        <v>571200</v>
      </c>
      <c r="E20" s="6">
        <v>26300</v>
      </c>
      <c r="F20" s="48">
        <v>0.34670289855074365</v>
      </c>
      <c r="G20" s="6">
        <v>45500</v>
      </c>
    </row>
    <row r="21" spans="1:7" ht="16">
      <c r="A21" s="6">
        <v>2014</v>
      </c>
      <c r="B21" s="46">
        <v>3.8</v>
      </c>
      <c r="C21" s="47">
        <v>400351000000</v>
      </c>
      <c r="D21" s="6">
        <v>575700</v>
      </c>
      <c r="E21" s="6">
        <v>28300</v>
      </c>
      <c r="F21" s="48">
        <v>2.3507079370626016</v>
      </c>
      <c r="G21" s="6">
        <v>44800</v>
      </c>
    </row>
    <row r="22" spans="1:7" ht="16">
      <c r="A22" s="6">
        <v>2015</v>
      </c>
      <c r="B22" s="46">
        <v>3.7</v>
      </c>
      <c r="C22" s="47">
        <v>420936000000</v>
      </c>
      <c r="D22" s="6">
        <v>584600</v>
      </c>
      <c r="E22" s="6">
        <v>28300</v>
      </c>
      <c r="F22" s="48">
        <v>1.892332462610824</v>
      </c>
      <c r="G22" s="6">
        <v>46300</v>
      </c>
    </row>
    <row r="23" spans="1:7" ht="16">
      <c r="A23" s="6">
        <v>2016</v>
      </c>
      <c r="B23" s="46">
        <v>3.9</v>
      </c>
      <c r="C23" s="47">
        <v>447620000000</v>
      </c>
      <c r="D23" s="6">
        <v>581000</v>
      </c>
      <c r="E23" s="6">
        <v>28600</v>
      </c>
      <c r="F23" s="48">
        <v>3.4961002655081508</v>
      </c>
      <c r="G23" s="6">
        <v>42400</v>
      </c>
    </row>
    <row r="24" spans="1:7" ht="16">
      <c r="A24" s="6">
        <v>2017</v>
      </c>
      <c r="B24" s="46">
        <v>3.9</v>
      </c>
      <c r="C24" s="47">
        <v>472861000000</v>
      </c>
      <c r="D24" s="6">
        <v>586900</v>
      </c>
      <c r="E24" s="6">
        <v>28400</v>
      </c>
      <c r="F24" s="48">
        <v>2.5337086595675018</v>
      </c>
      <c r="G24" s="6">
        <v>41800</v>
      </c>
    </row>
    <row r="25" spans="1:7" ht="16">
      <c r="A25" s="6">
        <v>2018</v>
      </c>
      <c r="B25" s="46">
        <v>4</v>
      </c>
      <c r="C25" s="47">
        <v>500047000000</v>
      </c>
      <c r="D25" s="6">
        <v>583800</v>
      </c>
      <c r="E25" s="6">
        <v>29400</v>
      </c>
      <c r="F25" s="48">
        <v>3.9151132741302108</v>
      </c>
      <c r="G25" s="6">
        <v>40100</v>
      </c>
    </row>
    <row r="26" spans="1:7" ht="16">
      <c r="A26" s="6">
        <v>2019</v>
      </c>
      <c r="B26" s="46">
        <v>2.9</v>
      </c>
      <c r="C26" s="47">
        <v>512108000000</v>
      </c>
      <c r="D26" s="6">
        <v>591000</v>
      </c>
      <c r="E26" s="6">
        <v>30900</v>
      </c>
      <c r="F26" s="48">
        <v>1.3647879708466926</v>
      </c>
      <c r="G26" s="6">
        <v>39700</v>
      </c>
    </row>
    <row r="27" spans="1:7" ht="16">
      <c r="A27" s="6">
        <v>2020</v>
      </c>
      <c r="B27" s="46">
        <v>-14.5</v>
      </c>
      <c r="C27" s="47">
        <v>448874000000</v>
      </c>
      <c r="D27" s="6">
        <v>570100</v>
      </c>
      <c r="E27" s="6">
        <v>31800</v>
      </c>
      <c r="F27" s="48">
        <v>-9.2643259959978348</v>
      </c>
      <c r="G27" s="6">
        <v>52200</v>
      </c>
    </row>
    <row r="28" spans="1:7" ht="16">
      <c r="A28" s="6">
        <v>2021</v>
      </c>
      <c r="B28" s="46">
        <v>3.4</v>
      </c>
      <c r="C28" s="47">
        <v>478807000000</v>
      </c>
      <c r="D28" s="6">
        <v>532800</v>
      </c>
      <c r="E28" s="6">
        <v>30000</v>
      </c>
      <c r="F28" s="48">
        <v>11.13685847589425</v>
      </c>
      <c r="G28" s="6">
        <v>48400</v>
      </c>
    </row>
    <row r="29" spans="1:7" ht="16">
      <c r="B29" s="10"/>
      <c r="C29" s="7"/>
      <c r="F29" s="14"/>
    </row>
    <row r="30" spans="1:7" ht="16">
      <c r="B30" s="10"/>
      <c r="C30" s="7"/>
      <c r="F30" s="14"/>
    </row>
    <row r="31" spans="1:7" ht="16">
      <c r="B31" s="10"/>
      <c r="C31" s="7"/>
      <c r="F31" s="14"/>
    </row>
    <row r="32" spans="1:7">
      <c r="A32" s="19"/>
      <c r="B32" s="15"/>
      <c r="C32" s="15"/>
      <c r="D32" s="15"/>
      <c r="E32" s="15"/>
      <c r="F32" s="15"/>
      <c r="G32" s="15"/>
    </row>
    <row r="33" spans="1:7">
      <c r="A33" s="19"/>
      <c r="B33" s="19"/>
      <c r="C33" s="19"/>
      <c r="D33" s="19"/>
      <c r="E33" s="19"/>
      <c r="F33" s="19"/>
      <c r="G33" s="19"/>
    </row>
    <row r="34" spans="1:7">
      <c r="A34" s="19"/>
      <c r="B34" s="19"/>
      <c r="C34" s="19"/>
      <c r="D34" s="19"/>
      <c r="E34" s="19"/>
      <c r="F34" s="19"/>
      <c r="G34" s="19"/>
    </row>
    <row r="35" spans="1:7">
      <c r="A35" s="19"/>
      <c r="B35" s="19"/>
      <c r="C35" s="19"/>
      <c r="D35" s="19"/>
      <c r="E35" s="19"/>
      <c r="F35" s="19"/>
      <c r="G35" s="19"/>
    </row>
    <row r="36" spans="1:7">
      <c r="A36" s="19"/>
      <c r="B36" s="19"/>
      <c r="C36" s="19"/>
      <c r="D36" s="19"/>
      <c r="E36" s="19"/>
      <c r="F36" s="19"/>
      <c r="G36" s="19"/>
    </row>
    <row r="37" spans="1:7">
      <c r="A37" s="19"/>
      <c r="B37" s="19"/>
      <c r="C37" s="19"/>
      <c r="D37" s="19"/>
      <c r="E37" s="19"/>
      <c r="F37" s="19"/>
      <c r="G37" s="19"/>
    </row>
    <row r="38" spans="1:7">
      <c r="A38" s="19"/>
      <c r="B38" s="19"/>
      <c r="C38" s="19"/>
      <c r="D38" s="19"/>
      <c r="E38" s="19"/>
      <c r="F38" s="19"/>
      <c r="G38" s="19"/>
    </row>
    <row r="39" spans="1:7">
      <c r="A39" s="19"/>
      <c r="B39" s="19"/>
      <c r="C39" s="19"/>
      <c r="D39" s="19"/>
      <c r="E39" s="19"/>
      <c r="F39" s="19"/>
      <c r="G39" s="19"/>
    </row>
    <row r="40" spans="1:7">
      <c r="A40" s="19"/>
      <c r="B40" s="19"/>
      <c r="C40" s="19"/>
      <c r="D40" s="19"/>
      <c r="E40" s="19"/>
      <c r="F40" s="19"/>
      <c r="G40" s="19"/>
    </row>
    <row r="41" spans="1:7">
      <c r="A41" s="19"/>
      <c r="B41" s="19"/>
      <c r="C41" s="19"/>
      <c r="D41" s="19"/>
      <c r="E41" s="19"/>
      <c r="F41" s="19"/>
      <c r="G41" s="19"/>
    </row>
    <row r="42" spans="1:7">
      <c r="A42" s="19"/>
      <c r="B42" s="19"/>
      <c r="C42" s="19"/>
      <c r="D42" s="19"/>
      <c r="E42" s="19"/>
      <c r="F42" s="19"/>
      <c r="G42" s="19"/>
    </row>
    <row r="43" spans="1:7">
      <c r="A43" s="19"/>
      <c r="B43" s="19"/>
      <c r="C43" s="19"/>
      <c r="D43" s="19"/>
      <c r="E43" s="19"/>
      <c r="F43" s="19"/>
      <c r="G43" s="19"/>
    </row>
    <row r="44" spans="1:7">
      <c r="A44" s="19"/>
      <c r="B44" s="19"/>
      <c r="C44" s="19"/>
      <c r="D44" s="19"/>
      <c r="E44" s="19"/>
      <c r="F44" s="19"/>
      <c r="G44" s="19"/>
    </row>
    <row r="45" spans="1:7">
      <c r="A45" s="19"/>
      <c r="B45" s="19"/>
      <c r="C45" s="19"/>
      <c r="D45" s="19"/>
      <c r="E45" s="19"/>
      <c r="F45" s="19"/>
      <c r="G45" s="19"/>
    </row>
    <row r="46" spans="1:7">
      <c r="A46" s="19"/>
      <c r="B46" s="19"/>
      <c r="C46" s="19"/>
      <c r="D46" s="19"/>
      <c r="E46" s="19"/>
      <c r="F46" s="19"/>
      <c r="G46" s="19"/>
    </row>
    <row r="47" spans="1:7">
      <c r="A47" s="19"/>
      <c r="B47" s="19"/>
      <c r="C47" s="19"/>
      <c r="D47" s="19"/>
      <c r="E47" s="19"/>
      <c r="F47" s="19"/>
      <c r="G47" s="19"/>
    </row>
    <row r="48" spans="1:7">
      <c r="A48" s="19"/>
      <c r="B48" s="19"/>
      <c r="C48" s="19"/>
      <c r="D48" s="19"/>
      <c r="E48" s="19"/>
      <c r="F48" s="19"/>
      <c r="G48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5162-49E7-42F0-A8C0-7495F0E45008}">
  <dimension ref="A1:F48"/>
  <sheetViews>
    <sheetView workbookViewId="0">
      <selection activeCell="H7" sqref="H7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4.5" customWidth="1"/>
    <col min="6" max="6" width="29.1640625" customWidth="1"/>
  </cols>
  <sheetData>
    <row r="1" spans="1:6" ht="16">
      <c r="A1" s="3" t="s">
        <v>0</v>
      </c>
      <c r="B1" s="4" t="s">
        <v>68</v>
      </c>
      <c r="C1" s="3" t="s">
        <v>69</v>
      </c>
      <c r="D1" s="3" t="s">
        <v>11</v>
      </c>
      <c r="E1" s="3" t="s">
        <v>12</v>
      </c>
      <c r="F1" s="3" t="s">
        <v>13</v>
      </c>
    </row>
    <row r="2" spans="1:6">
      <c r="A2" s="6">
        <v>1995</v>
      </c>
      <c r="B2" s="46">
        <v>4.3</v>
      </c>
      <c r="C2" s="47">
        <v>70246000000</v>
      </c>
      <c r="D2" s="6">
        <f t="shared" ref="D2:D4" si="0">D3-((D$28-D$6)/($A$28-$A$6))</f>
        <v>7094818181.8181839</v>
      </c>
      <c r="E2" s="6">
        <f t="shared" ref="E2:E5" si="1">E3-((E$28-E$6)/($A$28-$A$6))</f>
        <v>34101727272.727264</v>
      </c>
      <c r="F2" s="6">
        <f t="shared" ref="F2:F5" si="2">F3-((F$28-F$6)/($A$28-$A$6))</f>
        <v>3989000000</v>
      </c>
    </row>
    <row r="3" spans="1:6">
      <c r="A3" s="6">
        <v>1996</v>
      </c>
      <c r="B3" s="46">
        <v>4.3</v>
      </c>
      <c r="C3" s="47">
        <v>79365000000</v>
      </c>
      <c r="D3" s="6">
        <f t="shared" si="0"/>
        <v>8093863636.3636379</v>
      </c>
      <c r="E3" s="6">
        <f t="shared" si="1"/>
        <v>38239545454.545448</v>
      </c>
      <c r="F3" s="6">
        <f t="shared" si="2"/>
        <v>21111000000</v>
      </c>
    </row>
    <row r="4" spans="1:6">
      <c r="A4" s="6">
        <v>1997</v>
      </c>
      <c r="B4" s="46">
        <v>4.3</v>
      </c>
      <c r="C4" s="47">
        <v>88175000000</v>
      </c>
      <c r="D4" s="6">
        <f>D5-((D$28-D$6)/($A$28-$A$6))</f>
        <v>9092909090.9090919</v>
      </c>
      <c r="E4" s="6">
        <f t="shared" si="1"/>
        <v>42377363636.363632</v>
      </c>
      <c r="F4" s="6">
        <f t="shared" si="2"/>
        <v>38233000000</v>
      </c>
    </row>
    <row r="5" spans="1:6">
      <c r="A5" s="6">
        <v>1998</v>
      </c>
      <c r="B5" s="46">
        <v>4.3</v>
      </c>
      <c r="C5" s="47">
        <v>100042000000</v>
      </c>
      <c r="D5" s="6">
        <f>D6-((D$28-D$6)/($A$28-$A$6))</f>
        <v>10091954545.454546</v>
      </c>
      <c r="E5" s="6">
        <f t="shared" si="1"/>
        <v>46515181818.181816</v>
      </c>
      <c r="F5" s="6">
        <f t="shared" si="2"/>
        <v>55355000000</v>
      </c>
    </row>
    <row r="6" spans="1:6">
      <c r="A6" s="6">
        <v>1999</v>
      </c>
      <c r="B6" s="46">
        <v>4.3</v>
      </c>
      <c r="C6" s="47">
        <v>109400000000</v>
      </c>
      <c r="D6" s="6">
        <v>11091000000</v>
      </c>
      <c r="E6" s="6">
        <v>50653000000</v>
      </c>
      <c r="F6" s="6">
        <v>72477000000</v>
      </c>
    </row>
    <row r="7" spans="1:6">
      <c r="A7" s="6">
        <v>2000</v>
      </c>
      <c r="B7" s="46">
        <v>4.3</v>
      </c>
      <c r="C7" s="47">
        <v>122410000000</v>
      </c>
      <c r="D7" s="6">
        <v>14131000000</v>
      </c>
      <c r="E7" s="6">
        <v>55817000000</v>
      </c>
      <c r="F7" s="6">
        <v>80299000000</v>
      </c>
    </row>
    <row r="8" spans="1:6">
      <c r="A8" s="6">
        <v>2001</v>
      </c>
      <c r="B8" s="46">
        <v>4.3</v>
      </c>
      <c r="C8" s="47">
        <v>134392000000</v>
      </c>
      <c r="D8" s="6">
        <v>16680000000</v>
      </c>
      <c r="E8" s="6">
        <v>62718000000</v>
      </c>
      <c r="F8" s="6">
        <v>88023000000</v>
      </c>
    </row>
    <row r="9" spans="1:6">
      <c r="A9" s="6">
        <v>2002</v>
      </c>
      <c r="B9" s="46">
        <v>4.3</v>
      </c>
      <c r="C9" s="47">
        <v>145055000000</v>
      </c>
      <c r="D9" s="6">
        <v>15159000000</v>
      </c>
      <c r="E9" s="6">
        <v>65224000000</v>
      </c>
      <c r="F9" s="6">
        <v>96259000000</v>
      </c>
    </row>
    <row r="10" spans="1:6">
      <c r="A10" s="6">
        <v>2003</v>
      </c>
      <c r="B10" s="46">
        <v>4.3</v>
      </c>
      <c r="C10" s="47">
        <v>162291000000</v>
      </c>
      <c r="D10" s="6">
        <v>16894000000</v>
      </c>
      <c r="E10" s="6">
        <v>70151000000</v>
      </c>
      <c r="F10" s="6">
        <v>106954000000</v>
      </c>
    </row>
    <row r="11" spans="1:6">
      <c r="A11" s="6">
        <v>2004</v>
      </c>
      <c r="B11" s="46">
        <v>4.3</v>
      </c>
      <c r="C11" s="47">
        <v>180908000000</v>
      </c>
      <c r="D11" s="6">
        <v>19180000000</v>
      </c>
      <c r="E11" s="6">
        <v>75795000000</v>
      </c>
      <c r="F11" s="6">
        <v>120343000000</v>
      </c>
    </row>
    <row r="12" spans="1:6">
      <c r="A12" s="6">
        <v>2005</v>
      </c>
      <c r="B12" s="46">
        <v>2.7</v>
      </c>
      <c r="C12" s="47">
        <v>191393000000</v>
      </c>
      <c r="D12" s="6">
        <v>19143000000</v>
      </c>
      <c r="E12" s="6">
        <v>76961000000</v>
      </c>
      <c r="F12" s="6">
        <v>132660000000</v>
      </c>
    </row>
    <row r="13" spans="1:6">
      <c r="A13" s="6">
        <v>2006</v>
      </c>
      <c r="B13" s="46">
        <v>5.6</v>
      </c>
      <c r="C13" s="47">
        <v>222870000000</v>
      </c>
      <c r="D13" s="6">
        <v>22702000000</v>
      </c>
      <c r="E13" s="6">
        <v>84217000000</v>
      </c>
      <c r="F13" s="6">
        <v>192413000000</v>
      </c>
    </row>
    <row r="14" spans="1:6">
      <c r="A14" s="6">
        <v>2007</v>
      </c>
      <c r="B14" s="46">
        <v>5.7</v>
      </c>
      <c r="C14" s="47">
        <v>255211000000</v>
      </c>
      <c r="D14" s="6">
        <v>23216000000</v>
      </c>
      <c r="E14" s="6">
        <v>96131000000</v>
      </c>
      <c r="F14" s="6">
        <v>221518000000</v>
      </c>
    </row>
    <row r="15" spans="1:6">
      <c r="A15" s="6">
        <v>2008</v>
      </c>
      <c r="B15" s="46">
        <v>5.4</v>
      </c>
      <c r="C15" s="47">
        <v>284254000000</v>
      </c>
      <c r="D15" s="6">
        <v>24204000000</v>
      </c>
      <c r="E15" s="6">
        <v>108821000000</v>
      </c>
      <c r="F15" s="6">
        <v>246358000000</v>
      </c>
    </row>
    <row r="16" spans="1:6">
      <c r="A16" s="6">
        <v>2009</v>
      </c>
      <c r="B16" s="46">
        <v>3.3</v>
      </c>
      <c r="C16" s="47">
        <v>291756000000</v>
      </c>
      <c r="D16" s="6">
        <v>23685000000</v>
      </c>
      <c r="E16" s="6">
        <v>110581000000</v>
      </c>
      <c r="F16" s="6">
        <v>254111000000</v>
      </c>
    </row>
    <row r="17" spans="1:6">
      <c r="A17" s="6">
        <v>2010</v>
      </c>
      <c r="B17" s="46">
        <v>4.4000000000000004</v>
      </c>
      <c r="C17" s="47">
        <v>307957000000</v>
      </c>
      <c r="D17" s="6">
        <v>23603000000</v>
      </c>
      <c r="E17" s="6">
        <v>111651000000</v>
      </c>
      <c r="F17" s="6">
        <v>269432000000</v>
      </c>
    </row>
    <row r="18" spans="1:6">
      <c r="A18" s="6">
        <v>2011</v>
      </c>
      <c r="B18" s="46">
        <v>4.0999999999999996</v>
      </c>
      <c r="C18" s="47">
        <v>330647000000</v>
      </c>
      <c r="D18" s="6">
        <v>25533000000</v>
      </c>
      <c r="E18" s="6">
        <v>116226000000</v>
      </c>
      <c r="F18" s="6">
        <v>289792000000</v>
      </c>
    </row>
    <row r="19" spans="1:6">
      <c r="A19" s="6">
        <v>2012</v>
      </c>
      <c r="B19" s="46">
        <v>3.5</v>
      </c>
      <c r="C19" s="47">
        <v>350644000000</v>
      </c>
      <c r="D19" s="6">
        <v>26648000000</v>
      </c>
      <c r="E19" s="6">
        <v>120279000000</v>
      </c>
      <c r="F19" s="6">
        <v>309655000000</v>
      </c>
    </row>
    <row r="20" spans="1:6">
      <c r="A20" s="6">
        <v>2013</v>
      </c>
      <c r="B20" s="46">
        <v>3.4</v>
      </c>
      <c r="C20" s="47">
        <v>377411000000</v>
      </c>
      <c r="D20" s="6">
        <v>26130000000</v>
      </c>
      <c r="E20" s="6">
        <v>127513000000</v>
      </c>
      <c r="F20" s="6">
        <v>333835000000</v>
      </c>
    </row>
    <row r="21" spans="1:6">
      <c r="A21" s="6">
        <v>2014</v>
      </c>
      <c r="B21" s="46">
        <v>3.8</v>
      </c>
      <c r="C21" s="47">
        <v>400351000000</v>
      </c>
      <c r="D21" s="6">
        <v>26641000000</v>
      </c>
      <c r="E21" s="6">
        <v>132002000000</v>
      </c>
      <c r="F21" s="6">
        <v>359496000000</v>
      </c>
    </row>
    <row r="22" spans="1:6">
      <c r="A22" s="6">
        <v>2015</v>
      </c>
      <c r="B22" s="46">
        <v>3.7</v>
      </c>
      <c r="C22" s="47">
        <v>420936000000</v>
      </c>
      <c r="D22" s="6">
        <v>26909000000</v>
      </c>
      <c r="E22" s="6">
        <v>134502000000</v>
      </c>
      <c r="F22" s="6">
        <v>380508000000</v>
      </c>
    </row>
    <row r="23" spans="1:6">
      <c r="A23" s="6">
        <v>2016</v>
      </c>
      <c r="B23" s="46">
        <v>3.9</v>
      </c>
      <c r="C23" s="47">
        <v>447620000000</v>
      </c>
      <c r="D23" s="6">
        <v>28881000000</v>
      </c>
      <c r="E23" s="6">
        <v>137464000000</v>
      </c>
      <c r="F23" s="6">
        <v>407159000000</v>
      </c>
    </row>
    <row r="24" spans="1:6">
      <c r="A24" s="6">
        <v>2017</v>
      </c>
      <c r="B24" s="46">
        <v>3.9</v>
      </c>
      <c r="C24" s="47">
        <v>472861000000</v>
      </c>
      <c r="D24" s="6">
        <v>29643000000</v>
      </c>
      <c r="E24" s="6">
        <v>138656000000</v>
      </c>
      <c r="F24" s="6">
        <v>431853000000</v>
      </c>
    </row>
    <row r="25" spans="1:6">
      <c r="A25" s="6">
        <v>2018</v>
      </c>
      <c r="B25" s="46">
        <v>4</v>
      </c>
      <c r="C25" s="47">
        <v>500047000000</v>
      </c>
      <c r="D25" s="6">
        <v>27203000000</v>
      </c>
      <c r="E25" s="6">
        <v>143075000000</v>
      </c>
      <c r="F25" s="6">
        <v>458557000000</v>
      </c>
    </row>
    <row r="26" spans="1:6">
      <c r="A26" s="6">
        <v>2019</v>
      </c>
      <c r="B26" s="46">
        <v>2.9</v>
      </c>
      <c r="C26" s="47">
        <v>512108000000</v>
      </c>
      <c r="D26" s="6">
        <v>29343000000</v>
      </c>
      <c r="E26" s="6">
        <v>138861000000</v>
      </c>
      <c r="F26" s="6">
        <v>473500000000</v>
      </c>
    </row>
    <row r="27" spans="1:6">
      <c r="A27" s="6">
        <v>2020</v>
      </c>
      <c r="B27" s="46">
        <v>-14.5</v>
      </c>
      <c r="C27" s="47">
        <v>448874000000</v>
      </c>
      <c r="D27" s="6">
        <v>29678000000</v>
      </c>
      <c r="E27" s="6">
        <v>121779000000</v>
      </c>
      <c r="F27" s="6">
        <v>428911000000</v>
      </c>
    </row>
    <row r="28" spans="1:6">
      <c r="A28" s="6">
        <v>2021</v>
      </c>
      <c r="B28" s="46">
        <v>3.4</v>
      </c>
      <c r="C28" s="47">
        <v>478807000000</v>
      </c>
      <c r="D28" s="6">
        <v>33070000000</v>
      </c>
      <c r="E28" s="6">
        <v>141685000000</v>
      </c>
      <c r="F28" s="6">
        <v>449161000000</v>
      </c>
    </row>
    <row r="29" spans="1:6">
      <c r="B29" s="10"/>
      <c r="C29" s="7"/>
      <c r="E29" s="8"/>
      <c r="F29" s="8"/>
    </row>
    <row r="30" spans="1:6">
      <c r="B30" s="10"/>
      <c r="C30" s="7"/>
      <c r="E30" s="8"/>
      <c r="F30" s="8"/>
    </row>
    <row r="31" spans="1:6">
      <c r="B31" s="10"/>
      <c r="C31" s="7"/>
      <c r="E31" s="8"/>
      <c r="F31" s="8"/>
    </row>
    <row r="32" spans="1:6">
      <c r="A32" s="19"/>
      <c r="B32" s="15"/>
      <c r="C32" s="15"/>
      <c r="D32" s="16"/>
      <c r="E32" s="18"/>
      <c r="F32" s="16"/>
    </row>
    <row r="33" spans="1:6">
      <c r="A33" s="19"/>
      <c r="B33" s="19"/>
      <c r="C33" s="19"/>
      <c r="D33" s="19"/>
      <c r="F33" s="19"/>
    </row>
    <row r="34" spans="1:6">
      <c r="A34" s="19"/>
      <c r="B34" s="19"/>
      <c r="C34" s="19"/>
      <c r="D34" s="19"/>
      <c r="E34" s="19"/>
      <c r="F34" s="19"/>
    </row>
    <row r="35" spans="1:6">
      <c r="A35" s="19"/>
      <c r="B35" s="19"/>
      <c r="C35" s="19"/>
      <c r="D35" s="19"/>
      <c r="E35" s="19"/>
      <c r="F35" s="19"/>
    </row>
    <row r="36" spans="1:6">
      <c r="A36" s="19"/>
      <c r="B36" s="19"/>
      <c r="C36" s="19"/>
      <c r="D36" s="19"/>
      <c r="E36" s="19"/>
      <c r="F36" s="19"/>
    </row>
    <row r="37" spans="1:6">
      <c r="A37" s="19"/>
      <c r="B37" s="19"/>
      <c r="C37" s="19"/>
      <c r="D37" s="19"/>
      <c r="E37" s="19"/>
      <c r="F37" s="19"/>
    </row>
    <row r="38" spans="1:6">
      <c r="A38" s="19"/>
      <c r="B38" s="19"/>
      <c r="C38" s="19"/>
      <c r="D38" s="19"/>
      <c r="E38" s="19"/>
      <c r="F38" s="19"/>
    </row>
    <row r="39" spans="1:6">
      <c r="A39" s="19"/>
      <c r="B39" s="19"/>
      <c r="C39" s="19"/>
      <c r="D39" s="19"/>
      <c r="E39" s="19"/>
      <c r="F39" s="19"/>
    </row>
    <row r="40" spans="1:6">
      <c r="A40" s="19"/>
      <c r="B40" s="19"/>
      <c r="C40" s="19"/>
      <c r="D40" s="19"/>
      <c r="E40" s="19"/>
      <c r="F40" s="19"/>
    </row>
    <row r="41" spans="1:6">
      <c r="A41" s="19"/>
      <c r="B41" s="19"/>
      <c r="C41" s="19"/>
      <c r="D41" s="19"/>
      <c r="E41" s="19"/>
      <c r="F41" s="19"/>
    </row>
    <row r="42" spans="1:6">
      <c r="A42" s="19"/>
      <c r="B42" s="19"/>
      <c r="C42" s="19"/>
      <c r="D42" s="19"/>
      <c r="E42" s="19"/>
      <c r="F42" s="19"/>
    </row>
    <row r="43" spans="1:6">
      <c r="A43" s="19"/>
      <c r="B43" s="19"/>
      <c r="C43" s="19"/>
      <c r="D43" s="19"/>
      <c r="E43" s="19"/>
      <c r="F43" s="19"/>
    </row>
    <row r="44" spans="1:6">
      <c r="A44" s="19"/>
      <c r="B44" s="19"/>
      <c r="C44" s="19"/>
      <c r="D44" s="19"/>
      <c r="E44" s="19"/>
      <c r="F44" s="19"/>
    </row>
    <row r="45" spans="1:6">
      <c r="A45" s="19"/>
      <c r="B45" s="19"/>
      <c r="C45" s="19"/>
      <c r="D45" s="19"/>
      <c r="E45" s="19"/>
      <c r="F45" s="19"/>
    </row>
    <row r="46" spans="1:6">
      <c r="A46" s="19"/>
      <c r="B46" s="19"/>
      <c r="C46" s="19"/>
      <c r="D46" s="19"/>
      <c r="E46" s="19"/>
      <c r="F46" s="19"/>
    </row>
    <row r="47" spans="1:6">
      <c r="A47" s="19"/>
      <c r="B47" s="19"/>
      <c r="C47" s="19"/>
      <c r="D47" s="19"/>
      <c r="E47" s="19"/>
      <c r="F47" s="19"/>
    </row>
    <row r="48" spans="1:6">
      <c r="A48" s="19"/>
      <c r="B48" s="19"/>
      <c r="C48" s="19"/>
      <c r="D48" s="19"/>
      <c r="E48" s="19"/>
      <c r="F48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27A9-761E-470D-BEEE-1D73F0F68B59}">
  <dimension ref="A1:AH46"/>
  <sheetViews>
    <sheetView workbookViewId="0">
      <selection activeCell="P1" sqref="P1:AH1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2.33203125" customWidth="1"/>
  </cols>
  <sheetData>
    <row r="1" spans="1:34" ht="28.75" customHeight="1">
      <c r="A1" s="55" t="s">
        <v>0</v>
      </c>
      <c r="B1" s="54" t="s">
        <v>17</v>
      </c>
      <c r="C1" s="53" t="s">
        <v>14</v>
      </c>
      <c r="D1" s="56" t="s">
        <v>51</v>
      </c>
      <c r="E1" s="57"/>
      <c r="F1" s="57"/>
      <c r="G1" s="58"/>
      <c r="H1" s="59" t="s">
        <v>61</v>
      </c>
      <c r="I1" s="60"/>
      <c r="J1" s="60"/>
      <c r="K1" s="60"/>
      <c r="L1" s="60"/>
      <c r="M1" s="60"/>
      <c r="N1" s="60"/>
      <c r="O1" s="60"/>
      <c r="P1" s="52" t="s">
        <v>52</v>
      </c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</row>
    <row r="2" spans="1:34" ht="130">
      <c r="A2" s="55"/>
      <c r="B2" s="54"/>
      <c r="C2" s="53"/>
      <c r="D2" s="24" t="s">
        <v>20</v>
      </c>
      <c r="E2" s="24" t="s">
        <v>22</v>
      </c>
      <c r="F2" s="24" t="s">
        <v>23</v>
      </c>
      <c r="G2" s="24" t="s">
        <v>24</v>
      </c>
      <c r="H2" s="25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32</v>
      </c>
      <c r="N2" s="2" t="s">
        <v>30</v>
      </c>
      <c r="O2" s="2" t="s">
        <v>31</v>
      </c>
      <c r="P2" s="26" t="s">
        <v>33</v>
      </c>
      <c r="Q2" s="26" t="s">
        <v>34</v>
      </c>
      <c r="R2" s="26" t="s">
        <v>35</v>
      </c>
      <c r="S2" s="26" t="s">
        <v>62</v>
      </c>
      <c r="T2" s="26" t="s">
        <v>36</v>
      </c>
      <c r="U2" s="26" t="s">
        <v>37</v>
      </c>
      <c r="V2" s="26" t="s">
        <v>38</v>
      </c>
      <c r="W2" s="26" t="s">
        <v>39</v>
      </c>
      <c r="X2" s="26" t="s">
        <v>40</v>
      </c>
      <c r="Y2" s="26" t="s">
        <v>29</v>
      </c>
      <c r="Z2" s="26" t="s">
        <v>41</v>
      </c>
      <c r="AA2" s="26" t="s">
        <v>42</v>
      </c>
      <c r="AB2" s="26" t="s">
        <v>43</v>
      </c>
      <c r="AC2" s="27" t="s">
        <v>44</v>
      </c>
      <c r="AD2" s="27" t="s">
        <v>45</v>
      </c>
      <c r="AE2" s="26" t="s">
        <v>46</v>
      </c>
      <c r="AF2" s="26" t="s">
        <v>47</v>
      </c>
      <c r="AG2" s="26" t="s">
        <v>48</v>
      </c>
      <c r="AH2" s="26" t="s">
        <v>49</v>
      </c>
    </row>
    <row r="3" spans="1:34">
      <c r="B3" s="10"/>
      <c r="C3" s="7"/>
      <c r="D3" s="28" t="s">
        <v>21</v>
      </c>
      <c r="E3" s="28" t="s">
        <v>21</v>
      </c>
      <c r="F3" s="28" t="s">
        <v>21</v>
      </c>
      <c r="G3" s="28" t="s">
        <v>21</v>
      </c>
      <c r="H3" s="29" t="s">
        <v>21</v>
      </c>
      <c r="I3" s="30" t="s">
        <v>21</v>
      </c>
      <c r="J3" s="30" t="s">
        <v>21</v>
      </c>
      <c r="K3" s="30" t="s">
        <v>21</v>
      </c>
      <c r="L3" s="30" t="s">
        <v>21</v>
      </c>
      <c r="M3" s="30" t="s">
        <v>21</v>
      </c>
      <c r="N3" s="30" t="s">
        <v>21</v>
      </c>
      <c r="O3" s="30" t="s">
        <v>21</v>
      </c>
      <c r="P3" s="31" t="s">
        <v>21</v>
      </c>
      <c r="Q3" s="31" t="s">
        <v>21</v>
      </c>
      <c r="R3" s="31" t="s">
        <v>21</v>
      </c>
      <c r="S3" s="31" t="s">
        <v>21</v>
      </c>
      <c r="T3" s="31" t="s">
        <v>21</v>
      </c>
      <c r="U3" s="31" t="s">
        <v>21</v>
      </c>
      <c r="V3" s="31" t="s">
        <v>21</v>
      </c>
      <c r="W3" s="31" t="s">
        <v>21</v>
      </c>
      <c r="X3" s="31" t="s">
        <v>21</v>
      </c>
      <c r="Y3" s="31" t="s">
        <v>21</v>
      </c>
      <c r="Z3" s="31" t="s">
        <v>21</v>
      </c>
      <c r="AA3" s="31" t="s">
        <v>21</v>
      </c>
      <c r="AB3" s="31" t="s">
        <v>21</v>
      </c>
      <c r="AC3" s="31" t="s">
        <v>21</v>
      </c>
      <c r="AD3" s="31" t="s">
        <v>21</v>
      </c>
      <c r="AE3" s="31" t="s">
        <v>21</v>
      </c>
      <c r="AF3" s="31" t="s">
        <v>21</v>
      </c>
      <c r="AG3" s="31" t="s">
        <v>21</v>
      </c>
      <c r="AH3" s="31" t="s">
        <v>21</v>
      </c>
    </row>
    <row r="4" spans="1:34">
      <c r="A4">
        <v>1999</v>
      </c>
      <c r="B4" s="10"/>
      <c r="C4" s="7">
        <v>109400000000</v>
      </c>
      <c r="D4" s="32">
        <v>5466</v>
      </c>
      <c r="E4" s="32">
        <v>2253</v>
      </c>
      <c r="F4" s="32">
        <v>3213</v>
      </c>
      <c r="G4" s="24">
        <v>159</v>
      </c>
      <c r="H4" s="33">
        <v>22043</v>
      </c>
      <c r="I4" s="34">
        <v>546</v>
      </c>
      <c r="J4" s="35">
        <v>3948</v>
      </c>
      <c r="K4" s="35">
        <v>11383</v>
      </c>
      <c r="L4" s="35">
        <v>6166</v>
      </c>
      <c r="M4" s="35">
        <v>5199</v>
      </c>
      <c r="N4" s="35">
        <v>1368</v>
      </c>
      <c r="O4" s="34"/>
      <c r="P4" s="36">
        <v>11917</v>
      </c>
      <c r="Q4" s="36">
        <v>11447</v>
      </c>
      <c r="R4" s="36">
        <v>11403</v>
      </c>
      <c r="S4" s="36">
        <v>6123</v>
      </c>
      <c r="T4" s="37"/>
      <c r="U4" s="36">
        <v>7309</v>
      </c>
      <c r="V4" s="37"/>
      <c r="W4" s="37"/>
      <c r="X4" s="37"/>
      <c r="Y4" s="37"/>
      <c r="Z4" s="36">
        <v>8206</v>
      </c>
      <c r="AA4" s="37"/>
      <c r="AB4" s="37"/>
      <c r="AC4" s="38"/>
      <c r="AD4" s="36">
        <v>6095</v>
      </c>
      <c r="AE4" s="36">
        <v>4122</v>
      </c>
      <c r="AF4" s="36">
        <v>2728</v>
      </c>
      <c r="AG4" s="26"/>
      <c r="AH4" s="36">
        <v>3127</v>
      </c>
    </row>
    <row r="5" spans="1:34">
      <c r="A5">
        <v>2000</v>
      </c>
      <c r="B5" s="10"/>
      <c r="C5" s="7">
        <v>122410000000</v>
      </c>
      <c r="D5" s="32">
        <v>6984</v>
      </c>
      <c r="E5" s="32">
        <v>3499</v>
      </c>
      <c r="F5" s="32">
        <v>3485</v>
      </c>
      <c r="G5" s="24">
        <v>163</v>
      </c>
      <c r="H5" s="33">
        <v>24171</v>
      </c>
      <c r="I5" s="34">
        <v>840</v>
      </c>
      <c r="J5" s="35">
        <v>4223</v>
      </c>
      <c r="K5" s="35">
        <v>12367</v>
      </c>
      <c r="L5" s="35">
        <v>6741</v>
      </c>
      <c r="M5" s="35">
        <v>5715</v>
      </c>
      <c r="N5" s="35">
        <v>1760</v>
      </c>
      <c r="O5" s="34"/>
      <c r="P5" s="36">
        <v>12317</v>
      </c>
      <c r="Q5" s="36">
        <v>11767</v>
      </c>
      <c r="R5" s="36">
        <v>13608</v>
      </c>
      <c r="S5" s="36">
        <v>6383</v>
      </c>
      <c r="T5" s="37"/>
      <c r="U5" s="36">
        <v>9409</v>
      </c>
      <c r="V5" s="37"/>
      <c r="W5" s="37"/>
      <c r="X5" s="37"/>
      <c r="Y5" s="37"/>
      <c r="Z5" s="36">
        <v>9011</v>
      </c>
      <c r="AA5" s="37"/>
      <c r="AB5" s="37"/>
      <c r="AC5" s="38"/>
      <c r="AD5" s="36">
        <v>6693</v>
      </c>
      <c r="AE5" s="36">
        <v>4637</v>
      </c>
      <c r="AF5" s="36">
        <v>2990</v>
      </c>
      <c r="AG5" s="26"/>
      <c r="AH5" s="36">
        <v>3484</v>
      </c>
    </row>
    <row r="6" spans="1:34">
      <c r="A6">
        <v>2001</v>
      </c>
      <c r="B6" s="10"/>
      <c r="C6" s="7">
        <v>134392000000</v>
      </c>
      <c r="D6" s="32">
        <v>8262</v>
      </c>
      <c r="E6" s="32">
        <v>4422</v>
      </c>
      <c r="F6" s="32">
        <v>3840</v>
      </c>
      <c r="G6" s="24">
        <v>156</v>
      </c>
      <c r="H6" s="33">
        <v>26934</v>
      </c>
      <c r="I6" s="35">
        <v>1436</v>
      </c>
      <c r="J6" s="35">
        <v>4672</v>
      </c>
      <c r="K6" s="35">
        <v>13294</v>
      </c>
      <c r="L6" s="35">
        <v>7532</v>
      </c>
      <c r="M6" s="35">
        <v>6272</v>
      </c>
      <c r="N6" s="35">
        <v>2578</v>
      </c>
      <c r="O6" s="34"/>
      <c r="P6" s="36">
        <v>13076</v>
      </c>
      <c r="Q6" s="36">
        <v>12446</v>
      </c>
      <c r="R6" s="36">
        <v>15323</v>
      </c>
      <c r="S6" s="36">
        <v>8243</v>
      </c>
      <c r="T6" s="37"/>
      <c r="U6" s="36">
        <v>9594</v>
      </c>
      <c r="V6" s="37"/>
      <c r="W6" s="37"/>
      <c r="X6" s="37"/>
      <c r="Y6" s="37"/>
      <c r="Z6" s="36">
        <v>10217</v>
      </c>
      <c r="AA6" s="37"/>
      <c r="AB6" s="37"/>
      <c r="AC6" s="38"/>
      <c r="AD6" s="36">
        <v>7132</v>
      </c>
      <c r="AE6" s="36">
        <v>4980</v>
      </c>
      <c r="AF6" s="36">
        <v>3236</v>
      </c>
      <c r="AG6" s="26"/>
      <c r="AH6" s="36">
        <v>3776</v>
      </c>
    </row>
    <row r="7" spans="1:34">
      <c r="A7">
        <v>2002</v>
      </c>
      <c r="B7" s="10"/>
      <c r="C7" s="7">
        <v>145055000000</v>
      </c>
      <c r="D7" s="32">
        <v>7530</v>
      </c>
      <c r="E7" s="32">
        <v>3651</v>
      </c>
      <c r="F7" s="32">
        <v>3879</v>
      </c>
      <c r="G7" s="24">
        <v>99</v>
      </c>
      <c r="H7" s="33">
        <v>27654</v>
      </c>
      <c r="I7" s="35">
        <v>1271</v>
      </c>
      <c r="J7" s="35">
        <v>5124</v>
      </c>
      <c r="K7" s="35">
        <v>12609</v>
      </c>
      <c r="L7" s="35">
        <v>8650</v>
      </c>
      <c r="M7" s="35">
        <v>6969</v>
      </c>
      <c r="N7" s="35">
        <v>2947</v>
      </c>
      <c r="O7" s="34"/>
      <c r="P7" s="36">
        <v>14192</v>
      </c>
      <c r="Q7" s="36">
        <v>13462</v>
      </c>
      <c r="R7" s="36">
        <v>16886</v>
      </c>
      <c r="S7" s="36">
        <v>8424</v>
      </c>
      <c r="T7" s="37"/>
      <c r="U7" s="36">
        <v>10791</v>
      </c>
      <c r="V7" s="37"/>
      <c r="W7" s="37"/>
      <c r="X7" s="37"/>
      <c r="Y7" s="37"/>
      <c r="Z7" s="36">
        <v>11348</v>
      </c>
      <c r="AA7" s="37"/>
      <c r="AB7" s="37"/>
      <c r="AC7" s="38"/>
      <c r="AD7" s="36">
        <v>7764</v>
      </c>
      <c r="AE7" s="36">
        <v>5462</v>
      </c>
      <c r="AF7" s="36">
        <v>3680</v>
      </c>
      <c r="AG7" s="26"/>
      <c r="AH7" s="36">
        <v>4250</v>
      </c>
    </row>
    <row r="8" spans="1:34">
      <c r="A8">
        <v>2003</v>
      </c>
      <c r="B8" s="10"/>
      <c r="C8" s="7">
        <v>162291000000</v>
      </c>
      <c r="D8" s="32">
        <v>8403</v>
      </c>
      <c r="E8" s="32">
        <v>4287</v>
      </c>
      <c r="F8" s="32">
        <v>4116</v>
      </c>
      <c r="G8" s="24">
        <v>88</v>
      </c>
      <c r="H8" s="33">
        <v>29260</v>
      </c>
      <c r="I8" s="35">
        <v>1359</v>
      </c>
      <c r="J8" s="35">
        <v>6345</v>
      </c>
      <c r="K8" s="35">
        <v>12207</v>
      </c>
      <c r="L8" s="35">
        <v>9349</v>
      </c>
      <c r="M8" s="35">
        <v>8263</v>
      </c>
      <c r="N8" s="35">
        <v>3368</v>
      </c>
      <c r="O8" s="34"/>
      <c r="P8" s="36">
        <v>14801</v>
      </c>
      <c r="Q8" s="36">
        <v>13851</v>
      </c>
      <c r="R8" s="36">
        <v>18437</v>
      </c>
      <c r="S8" s="36">
        <v>8984</v>
      </c>
      <c r="T8" s="37"/>
      <c r="U8" s="36">
        <v>13447</v>
      </c>
      <c r="V8" s="37"/>
      <c r="W8" s="37"/>
      <c r="X8" s="37"/>
      <c r="Y8" s="37"/>
      <c r="Z8" s="36">
        <v>13296</v>
      </c>
      <c r="AA8" s="37"/>
      <c r="AB8" s="37"/>
      <c r="AC8" s="38"/>
      <c r="AD8" s="36">
        <v>8991</v>
      </c>
      <c r="AE8" s="36">
        <v>6104</v>
      </c>
      <c r="AF8" s="36">
        <v>4272</v>
      </c>
      <c r="AG8" s="26"/>
      <c r="AH8" s="36">
        <v>4771</v>
      </c>
    </row>
    <row r="9" spans="1:34">
      <c r="A9">
        <v>2004</v>
      </c>
      <c r="B9" s="10">
        <v>4.3</v>
      </c>
      <c r="C9" s="7">
        <v>180908000000</v>
      </c>
      <c r="D9" s="32">
        <v>9545</v>
      </c>
      <c r="E9" s="32">
        <v>5073</v>
      </c>
      <c r="F9" s="32">
        <v>4472</v>
      </c>
      <c r="G9" s="24">
        <v>90</v>
      </c>
      <c r="H9" s="33">
        <v>31725</v>
      </c>
      <c r="I9" s="35">
        <v>1624</v>
      </c>
      <c r="J9" s="35">
        <v>7231</v>
      </c>
      <c r="K9" s="35">
        <v>12279</v>
      </c>
      <c r="L9" s="35">
        <v>10591</v>
      </c>
      <c r="M9" s="35">
        <v>8840</v>
      </c>
      <c r="N9" s="35">
        <v>3505</v>
      </c>
      <c r="O9" s="34"/>
      <c r="P9" s="36">
        <v>17463</v>
      </c>
      <c r="Q9" s="36">
        <v>16313</v>
      </c>
      <c r="R9" s="36">
        <v>19522</v>
      </c>
      <c r="S9" s="36">
        <v>10950</v>
      </c>
      <c r="T9" s="37"/>
      <c r="U9" s="36">
        <v>13786</v>
      </c>
      <c r="V9" s="37"/>
      <c r="W9" s="37"/>
      <c r="X9" s="37"/>
      <c r="Y9" s="37"/>
      <c r="Z9" s="36">
        <v>15003</v>
      </c>
      <c r="AA9" s="37"/>
      <c r="AB9" s="37"/>
      <c r="AC9" s="38"/>
      <c r="AD9" s="36">
        <v>10098</v>
      </c>
      <c r="AE9" s="36">
        <v>6880</v>
      </c>
      <c r="AF9" s="36">
        <v>4950</v>
      </c>
      <c r="AG9" s="26"/>
      <c r="AH9" s="36">
        <v>5378</v>
      </c>
    </row>
    <row r="10" spans="1:34">
      <c r="A10">
        <v>2005</v>
      </c>
      <c r="B10" s="10">
        <v>2.7</v>
      </c>
      <c r="C10" s="7">
        <v>191393000000</v>
      </c>
      <c r="D10" s="32">
        <v>9527</v>
      </c>
      <c r="E10" s="32">
        <v>5031</v>
      </c>
      <c r="F10" s="32">
        <v>4497</v>
      </c>
      <c r="G10" s="24">
        <v>88</v>
      </c>
      <c r="H10" s="33">
        <v>32331</v>
      </c>
      <c r="I10" s="35">
        <v>1327</v>
      </c>
      <c r="J10" s="35">
        <v>8307</v>
      </c>
      <c r="K10" s="35">
        <v>11509</v>
      </c>
      <c r="L10" s="35">
        <v>11188</v>
      </c>
      <c r="M10" s="35">
        <v>9071</v>
      </c>
      <c r="N10" s="35">
        <v>3228</v>
      </c>
      <c r="O10" s="34"/>
      <c r="P10" s="36">
        <v>20089</v>
      </c>
      <c r="Q10" s="36">
        <v>18689</v>
      </c>
      <c r="R10" s="36">
        <v>20006</v>
      </c>
      <c r="S10" s="36">
        <v>12008</v>
      </c>
      <c r="T10" s="37"/>
      <c r="U10" s="36">
        <v>15483</v>
      </c>
      <c r="V10" s="37"/>
      <c r="W10" s="37"/>
      <c r="X10" s="37"/>
      <c r="Y10" s="37"/>
      <c r="Z10" s="36">
        <v>16472</v>
      </c>
      <c r="AA10" s="37"/>
      <c r="AB10" s="37"/>
      <c r="AC10" s="38"/>
      <c r="AD10" s="36">
        <v>10908</v>
      </c>
      <c r="AE10" s="36">
        <v>7537</v>
      </c>
      <c r="AF10" s="36">
        <v>5433</v>
      </c>
      <c r="AG10" s="26"/>
      <c r="AH10" s="36">
        <v>6035</v>
      </c>
    </row>
    <row r="11" spans="1:34">
      <c r="A11">
        <v>2006</v>
      </c>
      <c r="B11" s="10">
        <v>5.6</v>
      </c>
      <c r="C11" s="7">
        <v>222870000000</v>
      </c>
      <c r="D11" s="32">
        <v>10935</v>
      </c>
      <c r="E11" s="32">
        <v>5125</v>
      </c>
      <c r="F11" s="32">
        <v>5810</v>
      </c>
      <c r="G11" s="24">
        <v>832</v>
      </c>
      <c r="H11" s="33">
        <v>35268</v>
      </c>
      <c r="I11" s="39">
        <v>1308</v>
      </c>
      <c r="J11" s="40">
        <v>9985</v>
      </c>
      <c r="K11" s="35">
        <v>13204</v>
      </c>
      <c r="L11" s="35">
        <v>10771</v>
      </c>
      <c r="M11" s="35">
        <v>10242</v>
      </c>
      <c r="N11" s="35">
        <v>2528</v>
      </c>
      <c r="O11" s="34">
        <v>911</v>
      </c>
      <c r="P11" s="36">
        <v>22610</v>
      </c>
      <c r="Q11" s="36">
        <v>21360</v>
      </c>
      <c r="R11" s="36">
        <v>14160</v>
      </c>
      <c r="S11" s="36">
        <v>15016</v>
      </c>
      <c r="T11" s="36">
        <v>8902</v>
      </c>
      <c r="U11" s="36">
        <v>20744</v>
      </c>
      <c r="V11" s="36">
        <v>11570</v>
      </c>
      <c r="W11" s="36">
        <v>1185</v>
      </c>
      <c r="X11" s="36">
        <v>5498</v>
      </c>
      <c r="Y11" s="36">
        <v>2491</v>
      </c>
      <c r="Z11" s="36">
        <v>13864</v>
      </c>
      <c r="AA11" s="36">
        <v>12470</v>
      </c>
      <c r="AB11" s="36">
        <v>5622</v>
      </c>
      <c r="AC11" s="36">
        <v>3720</v>
      </c>
      <c r="AD11" s="36">
        <v>11181</v>
      </c>
      <c r="AE11" s="36">
        <v>8555</v>
      </c>
      <c r="AF11" s="36">
        <v>6410</v>
      </c>
      <c r="AG11" s="36">
        <v>4316</v>
      </c>
      <c r="AH11" s="36">
        <v>2739</v>
      </c>
    </row>
    <row r="12" spans="1:34">
      <c r="A12">
        <v>2007</v>
      </c>
      <c r="B12" s="10">
        <v>5.7</v>
      </c>
      <c r="C12" s="7">
        <v>255211000000</v>
      </c>
      <c r="D12" s="32">
        <v>11168</v>
      </c>
      <c r="E12" s="32">
        <v>4790</v>
      </c>
      <c r="F12" s="32">
        <v>6378</v>
      </c>
      <c r="G12" s="24">
        <v>880</v>
      </c>
      <c r="H12" s="33">
        <v>39473</v>
      </c>
      <c r="I12" s="35">
        <v>1186</v>
      </c>
      <c r="J12" s="35">
        <v>11979</v>
      </c>
      <c r="K12" s="35">
        <v>14862</v>
      </c>
      <c r="L12" s="35">
        <v>11446</v>
      </c>
      <c r="M12" s="35">
        <v>13502</v>
      </c>
      <c r="N12" s="35">
        <v>2758</v>
      </c>
      <c r="O12" s="34">
        <v>925</v>
      </c>
      <c r="P12" s="36">
        <v>25611</v>
      </c>
      <c r="Q12" s="36">
        <v>24104</v>
      </c>
      <c r="R12" s="36">
        <v>15835</v>
      </c>
      <c r="S12" s="36">
        <v>18328</v>
      </c>
      <c r="T12" s="36">
        <v>9965</v>
      </c>
      <c r="U12" s="36">
        <v>24964</v>
      </c>
      <c r="V12" s="36">
        <v>14507</v>
      </c>
      <c r="W12" s="36">
        <v>1383</v>
      </c>
      <c r="X12" s="36">
        <v>6126</v>
      </c>
      <c r="Y12" s="36">
        <v>2948</v>
      </c>
      <c r="Z12" s="36">
        <v>16136</v>
      </c>
      <c r="AA12" s="36">
        <v>14493</v>
      </c>
      <c r="AB12" s="36">
        <v>6864</v>
      </c>
      <c r="AC12" s="36">
        <v>4530</v>
      </c>
      <c r="AD12" s="36">
        <v>11521</v>
      </c>
      <c r="AE12" s="36">
        <v>9242</v>
      </c>
      <c r="AF12" s="36">
        <v>6969</v>
      </c>
      <c r="AG12" s="36">
        <v>4915</v>
      </c>
      <c r="AH12" s="36">
        <v>3077</v>
      </c>
    </row>
    <row r="13" spans="1:34">
      <c r="A13">
        <v>2008</v>
      </c>
      <c r="B13" s="10">
        <v>5.4</v>
      </c>
      <c r="C13" s="7">
        <v>284254000000</v>
      </c>
      <c r="D13" s="32">
        <v>11583</v>
      </c>
      <c r="E13" s="32">
        <v>4804</v>
      </c>
      <c r="F13" s="32">
        <v>6779</v>
      </c>
      <c r="G13" s="32">
        <v>1038</v>
      </c>
      <c r="H13" s="33">
        <v>43521</v>
      </c>
      <c r="I13" s="35">
        <v>1149</v>
      </c>
      <c r="J13" s="35">
        <v>14350</v>
      </c>
      <c r="K13" s="35">
        <v>14131</v>
      </c>
      <c r="L13" s="35">
        <v>13891</v>
      </c>
      <c r="M13" s="35">
        <v>16776</v>
      </c>
      <c r="N13" s="35">
        <v>4136</v>
      </c>
      <c r="O13" s="34">
        <v>867</v>
      </c>
      <c r="P13" s="36">
        <v>28673</v>
      </c>
      <c r="Q13" s="36">
        <v>26976</v>
      </c>
      <c r="R13" s="36">
        <v>15800</v>
      </c>
      <c r="S13" s="36">
        <v>18645</v>
      </c>
      <c r="T13" s="36">
        <v>11103</v>
      </c>
      <c r="U13" s="36">
        <v>28637</v>
      </c>
      <c r="V13" s="36">
        <v>17317</v>
      </c>
      <c r="W13" s="36">
        <v>1582</v>
      </c>
      <c r="X13" s="36">
        <v>6771</v>
      </c>
      <c r="Y13" s="36">
        <v>2967</v>
      </c>
      <c r="Z13" s="36">
        <v>17520</v>
      </c>
      <c r="AA13" s="36">
        <v>15613</v>
      </c>
      <c r="AB13" s="36">
        <v>8534</v>
      </c>
      <c r="AC13" s="36">
        <v>5107</v>
      </c>
      <c r="AD13" s="36">
        <v>13212</v>
      </c>
      <c r="AE13" s="36">
        <v>10544</v>
      </c>
      <c r="AF13" s="36">
        <v>7871</v>
      </c>
      <c r="AG13" s="36">
        <v>6040</v>
      </c>
      <c r="AH13" s="36">
        <v>3446</v>
      </c>
    </row>
    <row r="14" spans="1:34">
      <c r="A14">
        <v>2009</v>
      </c>
      <c r="B14" s="10">
        <v>3.3</v>
      </c>
      <c r="C14" s="7">
        <v>291756000000</v>
      </c>
      <c r="D14" s="32">
        <v>11322</v>
      </c>
      <c r="E14" s="32">
        <v>3768</v>
      </c>
      <c r="F14" s="32">
        <v>7554</v>
      </c>
      <c r="G14" s="32">
        <v>1041</v>
      </c>
      <c r="H14" s="33">
        <v>43498</v>
      </c>
      <c r="I14" s="34">
        <v>897</v>
      </c>
      <c r="J14" s="35">
        <v>14195</v>
      </c>
      <c r="K14" s="35">
        <v>14407</v>
      </c>
      <c r="L14" s="35">
        <v>13999</v>
      </c>
      <c r="M14" s="35">
        <v>17764</v>
      </c>
      <c r="N14" s="35">
        <v>4980</v>
      </c>
      <c r="O14" s="34">
        <v>841</v>
      </c>
      <c r="P14" s="36">
        <v>28405</v>
      </c>
      <c r="Q14" s="36">
        <v>26623</v>
      </c>
      <c r="R14" s="36">
        <v>15737</v>
      </c>
      <c r="S14" s="36">
        <v>16731</v>
      </c>
      <c r="T14" s="36">
        <v>12217</v>
      </c>
      <c r="U14" s="36">
        <v>31099</v>
      </c>
      <c r="V14" s="36">
        <v>18733</v>
      </c>
      <c r="W14" s="36">
        <v>1729</v>
      </c>
      <c r="X14" s="36">
        <v>7393</v>
      </c>
      <c r="Y14" s="36">
        <v>3244</v>
      </c>
      <c r="Z14" s="36">
        <v>16888</v>
      </c>
      <c r="AA14" s="36">
        <v>14818</v>
      </c>
      <c r="AB14" s="36">
        <v>9552</v>
      </c>
      <c r="AC14" s="36">
        <v>5508</v>
      </c>
      <c r="AD14" s="36">
        <v>14705</v>
      </c>
      <c r="AE14" s="36">
        <v>11338</v>
      </c>
      <c r="AF14" s="36">
        <v>8903</v>
      </c>
      <c r="AG14" s="36">
        <v>6902</v>
      </c>
      <c r="AH14" s="36">
        <v>3586</v>
      </c>
    </row>
    <row r="15" spans="1:34">
      <c r="A15">
        <v>2010</v>
      </c>
      <c r="B15" s="10">
        <v>4.4000000000000004</v>
      </c>
      <c r="C15" s="7">
        <v>307957000000</v>
      </c>
      <c r="D15" s="32">
        <v>11215</v>
      </c>
      <c r="E15" s="32">
        <v>3119</v>
      </c>
      <c r="F15" s="32">
        <v>8096</v>
      </c>
      <c r="G15" s="32">
        <v>1173</v>
      </c>
      <c r="H15" s="33">
        <v>43620</v>
      </c>
      <c r="I15" s="34">
        <v>737</v>
      </c>
      <c r="J15" s="35">
        <v>14630</v>
      </c>
      <c r="K15" s="35">
        <v>13831</v>
      </c>
      <c r="L15" s="35">
        <v>14422</v>
      </c>
      <c r="M15" s="35">
        <v>18551</v>
      </c>
      <c r="N15" s="35">
        <v>4939</v>
      </c>
      <c r="O15" s="34">
        <v>921</v>
      </c>
      <c r="P15" s="36">
        <v>30593</v>
      </c>
      <c r="Q15" s="36">
        <v>28695</v>
      </c>
      <c r="R15" s="36">
        <v>16729</v>
      </c>
      <c r="S15" s="36">
        <v>18629</v>
      </c>
      <c r="T15" s="36">
        <v>13352</v>
      </c>
      <c r="U15" s="36">
        <v>31777</v>
      </c>
      <c r="V15" s="36">
        <v>18473</v>
      </c>
      <c r="W15" s="36">
        <v>1826</v>
      </c>
      <c r="X15" s="36">
        <v>8135</v>
      </c>
      <c r="Y15" s="36">
        <v>3343</v>
      </c>
      <c r="Z15" s="36">
        <v>17652</v>
      </c>
      <c r="AA15" s="36">
        <v>15378</v>
      </c>
      <c r="AB15" s="36">
        <v>10411</v>
      </c>
      <c r="AC15" s="36">
        <v>6117</v>
      </c>
      <c r="AD15" s="36">
        <v>15498</v>
      </c>
      <c r="AE15" s="36">
        <v>11934</v>
      </c>
      <c r="AF15" s="36">
        <v>9446</v>
      </c>
      <c r="AG15" s="36">
        <v>7517</v>
      </c>
      <c r="AH15" s="36">
        <v>3927</v>
      </c>
    </row>
    <row r="16" spans="1:34">
      <c r="A16">
        <v>2011</v>
      </c>
      <c r="B16" s="10">
        <v>4.0999999999999996</v>
      </c>
      <c r="C16" s="7">
        <v>330647000000</v>
      </c>
      <c r="D16" s="32">
        <v>12246</v>
      </c>
      <c r="E16" s="32">
        <v>3854</v>
      </c>
      <c r="F16" s="32">
        <v>8392</v>
      </c>
      <c r="G16" s="32">
        <v>1041</v>
      </c>
      <c r="H16" s="33">
        <v>45848</v>
      </c>
      <c r="I16" s="34">
        <v>877</v>
      </c>
      <c r="J16" s="35">
        <v>15204</v>
      </c>
      <c r="K16" s="35">
        <v>14402</v>
      </c>
      <c r="L16" s="35">
        <v>15365</v>
      </c>
      <c r="M16" s="35">
        <v>18927</v>
      </c>
      <c r="N16" s="35">
        <v>4706</v>
      </c>
      <c r="O16" s="34">
        <v>897</v>
      </c>
      <c r="P16" s="36">
        <v>33104</v>
      </c>
      <c r="Q16" s="36">
        <v>31010</v>
      </c>
      <c r="R16" s="36">
        <v>18144</v>
      </c>
      <c r="S16" s="36">
        <v>20290</v>
      </c>
      <c r="T16" s="36">
        <v>13611</v>
      </c>
      <c r="U16" s="36">
        <v>34201</v>
      </c>
      <c r="V16" s="36">
        <v>19800</v>
      </c>
      <c r="W16" s="36">
        <v>1954</v>
      </c>
      <c r="X16" s="36">
        <v>8952</v>
      </c>
      <c r="Y16" s="36">
        <v>3495</v>
      </c>
      <c r="Z16" s="36">
        <v>18235</v>
      </c>
      <c r="AA16" s="36">
        <v>15630</v>
      </c>
      <c r="AB16" s="36">
        <v>11851</v>
      </c>
      <c r="AC16" s="36">
        <v>6959</v>
      </c>
      <c r="AD16" s="36">
        <v>16483</v>
      </c>
      <c r="AE16" s="36">
        <v>12837</v>
      </c>
      <c r="AF16" s="36">
        <v>10269</v>
      </c>
      <c r="AG16" s="36">
        <v>8539</v>
      </c>
      <c r="AH16" s="36">
        <v>4428</v>
      </c>
    </row>
    <row r="17" spans="1:34">
      <c r="A17">
        <v>2012</v>
      </c>
      <c r="B17" s="10">
        <v>3.5</v>
      </c>
      <c r="C17" s="7">
        <v>350644000000</v>
      </c>
      <c r="D17" s="32">
        <v>12824</v>
      </c>
      <c r="E17" s="32">
        <v>4217</v>
      </c>
      <c r="F17" s="32">
        <v>8607</v>
      </c>
      <c r="G17" s="32">
        <v>1000</v>
      </c>
      <c r="H17" s="33">
        <v>47855</v>
      </c>
      <c r="I17" s="34">
        <v>958</v>
      </c>
      <c r="J17" s="35">
        <v>17295</v>
      </c>
      <c r="K17" s="35">
        <v>14529</v>
      </c>
      <c r="L17" s="35">
        <v>15073</v>
      </c>
      <c r="M17" s="35">
        <v>19043</v>
      </c>
      <c r="N17" s="35">
        <v>4306</v>
      </c>
      <c r="O17" s="35">
        <v>1220</v>
      </c>
      <c r="P17" s="36">
        <v>36219</v>
      </c>
      <c r="Q17" s="36">
        <v>33967</v>
      </c>
      <c r="R17" s="36">
        <v>18656</v>
      </c>
      <c r="S17" s="36">
        <v>21197</v>
      </c>
      <c r="T17" s="36">
        <v>13775</v>
      </c>
      <c r="U17" s="36">
        <v>36735</v>
      </c>
      <c r="V17" s="36">
        <v>21347</v>
      </c>
      <c r="W17" s="36">
        <v>2123</v>
      </c>
      <c r="X17" s="36">
        <v>9523</v>
      </c>
      <c r="Y17" s="36">
        <v>3742</v>
      </c>
      <c r="Z17" s="36">
        <v>18802</v>
      </c>
      <c r="AA17" s="36">
        <v>15881</v>
      </c>
      <c r="AB17" s="36">
        <v>13207</v>
      </c>
      <c r="AC17" s="36">
        <v>7820</v>
      </c>
      <c r="AD17" s="36">
        <v>17327</v>
      </c>
      <c r="AE17" s="36">
        <v>13804</v>
      </c>
      <c r="AF17" s="36">
        <v>11179</v>
      </c>
      <c r="AG17" s="36">
        <v>9544</v>
      </c>
      <c r="AH17" s="36">
        <v>4807</v>
      </c>
    </row>
    <row r="18" spans="1:34">
      <c r="A18">
        <v>2013</v>
      </c>
      <c r="B18" s="10">
        <v>3.4</v>
      </c>
      <c r="C18" s="7">
        <v>377411000000</v>
      </c>
      <c r="D18" s="32">
        <v>12570</v>
      </c>
      <c r="E18" s="32">
        <v>3544</v>
      </c>
      <c r="F18" s="32">
        <v>9026</v>
      </c>
      <c r="G18" s="24">
        <v>990</v>
      </c>
      <c r="H18" s="33">
        <v>51787</v>
      </c>
      <c r="I18" s="34">
        <v>810</v>
      </c>
      <c r="J18" s="35">
        <v>18253</v>
      </c>
      <c r="K18" s="35">
        <v>15517</v>
      </c>
      <c r="L18" s="35">
        <v>17207</v>
      </c>
      <c r="M18" s="35">
        <v>17923</v>
      </c>
      <c r="N18" s="35">
        <v>4722</v>
      </c>
      <c r="O18" s="35">
        <v>1294</v>
      </c>
      <c r="P18" s="36">
        <v>38965</v>
      </c>
      <c r="Q18" s="36">
        <v>36545</v>
      </c>
      <c r="R18" s="36">
        <v>19825</v>
      </c>
      <c r="S18" s="36">
        <v>19827</v>
      </c>
      <c r="T18" s="36">
        <v>14398</v>
      </c>
      <c r="U18" s="36">
        <v>39406</v>
      </c>
      <c r="V18" s="36">
        <v>21755</v>
      </c>
      <c r="W18" s="36">
        <v>2316</v>
      </c>
      <c r="X18" s="36">
        <v>10199</v>
      </c>
      <c r="Y18" s="36">
        <v>5136</v>
      </c>
      <c r="Z18" s="36">
        <v>20042</v>
      </c>
      <c r="AA18" s="36">
        <v>16796</v>
      </c>
      <c r="AB18" s="36">
        <v>14624</v>
      </c>
      <c r="AC18" s="36">
        <v>8754</v>
      </c>
      <c r="AD18" s="36">
        <v>20385</v>
      </c>
      <c r="AE18" s="36">
        <v>15767</v>
      </c>
      <c r="AF18" s="36">
        <v>13140</v>
      </c>
      <c r="AG18" s="36">
        <v>10766</v>
      </c>
      <c r="AH18" s="36">
        <v>5189</v>
      </c>
    </row>
    <row r="19" spans="1:34">
      <c r="A19">
        <v>2014</v>
      </c>
      <c r="B19" s="10">
        <v>3.8</v>
      </c>
      <c r="C19" s="7">
        <v>400351000000</v>
      </c>
      <c r="D19" s="32">
        <v>12779</v>
      </c>
      <c r="E19" s="32">
        <v>3162</v>
      </c>
      <c r="F19" s="32">
        <v>9617</v>
      </c>
      <c r="G19" s="32">
        <v>1083</v>
      </c>
      <c r="H19" s="33">
        <v>54144</v>
      </c>
      <c r="I19" s="35">
        <v>1165</v>
      </c>
      <c r="J19" s="35">
        <v>18730</v>
      </c>
      <c r="K19" s="35">
        <v>16315</v>
      </c>
      <c r="L19" s="35">
        <v>17934</v>
      </c>
      <c r="M19" s="35">
        <v>16882</v>
      </c>
      <c r="N19" s="35">
        <v>5503</v>
      </c>
      <c r="O19" s="35">
        <v>1329</v>
      </c>
      <c r="P19" s="36">
        <v>41598</v>
      </c>
      <c r="Q19" s="36">
        <v>39233</v>
      </c>
      <c r="R19" s="36">
        <v>21449</v>
      </c>
      <c r="S19" s="36">
        <v>22002</v>
      </c>
      <c r="T19" s="36">
        <v>15000</v>
      </c>
      <c r="U19" s="36">
        <v>42684</v>
      </c>
      <c r="V19" s="36">
        <v>23273</v>
      </c>
      <c r="W19" s="36">
        <v>2504</v>
      </c>
      <c r="X19" s="36">
        <v>11116</v>
      </c>
      <c r="Y19" s="36">
        <v>5791</v>
      </c>
      <c r="Z19" s="36">
        <v>21169</v>
      </c>
      <c r="AA19" s="36">
        <v>17572</v>
      </c>
      <c r="AB19" s="36">
        <v>16251</v>
      </c>
      <c r="AC19" s="36">
        <v>9700</v>
      </c>
      <c r="AD19" s="36">
        <v>21704</v>
      </c>
      <c r="AE19" s="36">
        <v>16635</v>
      </c>
      <c r="AF19" s="36">
        <v>14489</v>
      </c>
      <c r="AG19" s="36">
        <v>11825</v>
      </c>
      <c r="AH19" s="36">
        <v>5501</v>
      </c>
    </row>
    <row r="20" spans="1:34">
      <c r="A20">
        <v>2015</v>
      </c>
      <c r="B20" s="10">
        <v>3.7</v>
      </c>
      <c r="C20" s="7">
        <v>420936000000</v>
      </c>
      <c r="D20" s="32">
        <v>12931</v>
      </c>
      <c r="E20" s="32">
        <v>3144</v>
      </c>
      <c r="F20" s="32">
        <v>9787</v>
      </c>
      <c r="G20" s="32">
        <v>1047</v>
      </c>
      <c r="H20" s="33">
        <v>54758</v>
      </c>
      <c r="I20" s="35">
        <v>1200</v>
      </c>
      <c r="J20" s="35">
        <v>18687</v>
      </c>
      <c r="K20" s="35">
        <v>17110</v>
      </c>
      <c r="L20" s="35">
        <v>17761</v>
      </c>
      <c r="M20" s="35">
        <v>16505</v>
      </c>
      <c r="N20" s="35">
        <v>7063</v>
      </c>
      <c r="O20" s="35">
        <v>1418</v>
      </c>
      <c r="P20" s="36">
        <v>43796</v>
      </c>
      <c r="Q20" s="36">
        <v>41509</v>
      </c>
      <c r="R20" s="36">
        <v>23203</v>
      </c>
      <c r="S20" s="36">
        <v>24270</v>
      </c>
      <c r="T20" s="36">
        <v>15950</v>
      </c>
      <c r="U20" s="36">
        <v>45129</v>
      </c>
      <c r="V20" s="36">
        <v>24453</v>
      </c>
      <c r="W20" s="36">
        <v>2553</v>
      </c>
      <c r="X20" s="36">
        <v>11830</v>
      </c>
      <c r="Y20" s="36">
        <v>6293</v>
      </c>
      <c r="Z20" s="36">
        <v>21930</v>
      </c>
      <c r="AA20" s="36">
        <v>18026</v>
      </c>
      <c r="AB20" s="36">
        <v>17474</v>
      </c>
      <c r="AC20" s="36">
        <v>10280</v>
      </c>
      <c r="AD20" s="36">
        <v>22783</v>
      </c>
      <c r="AE20" s="36">
        <v>17762</v>
      </c>
      <c r="AF20" s="36">
        <v>15305</v>
      </c>
      <c r="AG20" s="36">
        <v>12310</v>
      </c>
      <c r="AH20" s="36">
        <v>5652</v>
      </c>
    </row>
    <row r="21" spans="1:34">
      <c r="A21">
        <v>2016</v>
      </c>
      <c r="B21" s="10">
        <v>3.9</v>
      </c>
      <c r="C21" s="7">
        <v>447620000000</v>
      </c>
      <c r="D21" s="32">
        <v>13864</v>
      </c>
      <c r="E21" s="32">
        <v>3324</v>
      </c>
      <c r="F21" s="32">
        <v>10540</v>
      </c>
      <c r="G21" s="32">
        <v>1153</v>
      </c>
      <c r="H21" s="33">
        <v>55429</v>
      </c>
      <c r="I21" s="35">
        <v>1281</v>
      </c>
      <c r="J21" s="35">
        <v>19256</v>
      </c>
      <c r="K21" s="35">
        <v>16476</v>
      </c>
      <c r="L21" s="35">
        <v>18416</v>
      </c>
      <c r="M21" s="35">
        <v>16764</v>
      </c>
      <c r="N21" s="35">
        <v>8390</v>
      </c>
      <c r="O21" s="35">
        <v>1452</v>
      </c>
      <c r="P21" s="36">
        <v>46042</v>
      </c>
      <c r="Q21" s="36">
        <v>43859</v>
      </c>
      <c r="R21" s="36">
        <v>25221</v>
      </c>
      <c r="S21" s="36">
        <v>27537</v>
      </c>
      <c r="T21" s="36">
        <v>16557</v>
      </c>
      <c r="U21" s="36">
        <v>48351</v>
      </c>
      <c r="V21" s="36">
        <v>26367</v>
      </c>
      <c r="W21" s="36">
        <v>2617</v>
      </c>
      <c r="X21" s="36">
        <v>12614</v>
      </c>
      <c r="Y21" s="36">
        <v>6753</v>
      </c>
      <c r="Z21" s="36">
        <v>22825</v>
      </c>
      <c r="AA21" s="36">
        <v>18663</v>
      </c>
      <c r="AB21" s="36">
        <v>19048</v>
      </c>
      <c r="AC21" s="36">
        <v>10940</v>
      </c>
      <c r="AD21" s="36">
        <v>25092</v>
      </c>
      <c r="AE21" s="36">
        <v>19088</v>
      </c>
      <c r="AF21" s="36">
        <v>16653</v>
      </c>
      <c r="AG21" s="36">
        <v>13067</v>
      </c>
      <c r="AH21" s="36">
        <v>5865</v>
      </c>
    </row>
    <row r="22" spans="1:34">
      <c r="A22">
        <v>2017</v>
      </c>
      <c r="B22" s="10">
        <v>3.9</v>
      </c>
      <c r="C22" s="7">
        <v>472861000000</v>
      </c>
      <c r="D22" s="32">
        <v>14161</v>
      </c>
      <c r="E22" s="32">
        <v>2517</v>
      </c>
      <c r="F22" s="32">
        <v>11644</v>
      </c>
      <c r="G22" s="32">
        <v>1321</v>
      </c>
      <c r="H22" s="33">
        <v>55984</v>
      </c>
      <c r="I22" s="35">
        <v>1221</v>
      </c>
      <c r="J22" s="35">
        <v>19511</v>
      </c>
      <c r="K22" s="35">
        <v>16410</v>
      </c>
      <c r="L22" s="35">
        <v>18842</v>
      </c>
      <c r="M22" s="35">
        <v>18451</v>
      </c>
      <c r="N22" s="35">
        <v>6739</v>
      </c>
      <c r="O22" s="35">
        <v>1498</v>
      </c>
      <c r="P22" s="36">
        <v>49206</v>
      </c>
      <c r="Q22" s="36">
        <v>47061</v>
      </c>
      <c r="R22" s="36">
        <v>27142</v>
      </c>
      <c r="S22" s="36">
        <v>29784</v>
      </c>
      <c r="T22" s="36">
        <v>17224</v>
      </c>
      <c r="U22" s="36">
        <v>50516</v>
      </c>
      <c r="V22" s="36">
        <v>28288</v>
      </c>
      <c r="W22" s="36">
        <v>2739</v>
      </c>
      <c r="X22" s="36">
        <v>11960</v>
      </c>
      <c r="Y22" s="36">
        <v>7529</v>
      </c>
      <c r="Z22" s="36">
        <v>23924</v>
      </c>
      <c r="AA22" s="36">
        <v>19379</v>
      </c>
      <c r="AB22" s="36">
        <v>21098</v>
      </c>
      <c r="AC22" s="36">
        <v>12063</v>
      </c>
      <c r="AD22" s="36">
        <v>25618</v>
      </c>
      <c r="AE22" s="36">
        <v>19903</v>
      </c>
      <c r="AF22" s="36">
        <v>18006</v>
      </c>
      <c r="AG22" s="36">
        <v>14165</v>
      </c>
      <c r="AH22" s="36">
        <v>6248</v>
      </c>
    </row>
    <row r="23" spans="1:34">
      <c r="A23">
        <v>2018</v>
      </c>
      <c r="B23" s="10">
        <v>4</v>
      </c>
      <c r="C23" s="7">
        <v>500047000000</v>
      </c>
      <c r="D23" s="32">
        <v>12821</v>
      </c>
      <c r="E23" s="32">
        <v>1309</v>
      </c>
      <c r="F23" s="32">
        <v>11512</v>
      </c>
      <c r="G23" s="32">
        <v>1561</v>
      </c>
      <c r="H23" s="33">
        <v>56630</v>
      </c>
      <c r="I23" s="34">
        <v>713</v>
      </c>
      <c r="J23" s="35">
        <v>19894</v>
      </c>
      <c r="K23" s="35">
        <v>16278</v>
      </c>
      <c r="L23" s="35">
        <v>19745</v>
      </c>
      <c r="M23" s="35">
        <v>21185</v>
      </c>
      <c r="N23" s="35">
        <v>7001</v>
      </c>
      <c r="O23" s="35">
        <v>1629</v>
      </c>
      <c r="P23" s="36">
        <v>52615</v>
      </c>
      <c r="Q23" s="36">
        <v>50503</v>
      </c>
      <c r="R23" s="36">
        <v>28771</v>
      </c>
      <c r="S23" s="36">
        <v>31648</v>
      </c>
      <c r="T23" s="36">
        <v>18154</v>
      </c>
      <c r="U23" s="36">
        <v>53478</v>
      </c>
      <c r="V23" s="36">
        <v>29921</v>
      </c>
      <c r="W23" s="36">
        <v>2822</v>
      </c>
      <c r="X23" s="36">
        <v>11317</v>
      </c>
      <c r="Y23" s="36">
        <v>9418</v>
      </c>
      <c r="Z23" s="36">
        <v>24924</v>
      </c>
      <c r="AA23" s="36">
        <v>20026</v>
      </c>
      <c r="AB23" s="36">
        <v>23524</v>
      </c>
      <c r="AC23" s="36">
        <v>12948</v>
      </c>
      <c r="AD23" s="36">
        <v>26583</v>
      </c>
      <c r="AE23" s="36">
        <v>20771</v>
      </c>
      <c r="AF23" s="36">
        <v>19243</v>
      </c>
      <c r="AG23" s="36">
        <v>15239</v>
      </c>
      <c r="AH23" s="36">
        <v>6652</v>
      </c>
    </row>
    <row r="24" spans="1:34">
      <c r="A24">
        <v>2019</v>
      </c>
      <c r="B24" s="10">
        <v>2.9</v>
      </c>
      <c r="C24" s="7">
        <v>512108000000</v>
      </c>
      <c r="D24" s="32">
        <v>13864</v>
      </c>
      <c r="E24" s="32">
        <v>1296</v>
      </c>
      <c r="F24" s="32">
        <v>12568</v>
      </c>
      <c r="G24" s="32">
        <v>1615</v>
      </c>
      <c r="H24" s="33">
        <v>53874</v>
      </c>
      <c r="I24" s="34">
        <v>756</v>
      </c>
      <c r="J24" s="35">
        <v>19685</v>
      </c>
      <c r="K24" s="35">
        <v>13676</v>
      </c>
      <c r="L24" s="35">
        <v>19757</v>
      </c>
      <c r="M24" s="35">
        <v>22817</v>
      </c>
      <c r="N24" s="35">
        <v>6666</v>
      </c>
      <c r="O24" s="35">
        <v>1630</v>
      </c>
      <c r="P24" s="36">
        <v>54673</v>
      </c>
      <c r="Q24" s="36">
        <v>52465</v>
      </c>
      <c r="R24" s="36">
        <v>28721</v>
      </c>
      <c r="S24" s="36">
        <v>31714</v>
      </c>
      <c r="T24" s="36">
        <v>19388</v>
      </c>
      <c r="U24" s="36">
        <v>55179</v>
      </c>
      <c r="V24" s="36">
        <v>31497</v>
      </c>
      <c r="W24" s="36">
        <v>3015</v>
      </c>
      <c r="X24" s="36">
        <v>9504</v>
      </c>
      <c r="Y24" s="36">
        <v>11163</v>
      </c>
      <c r="Z24" s="36">
        <v>25756</v>
      </c>
      <c r="AA24" s="36">
        <v>20604</v>
      </c>
      <c r="AB24" s="36">
        <v>24839</v>
      </c>
      <c r="AC24" s="36">
        <v>13688</v>
      </c>
      <c r="AD24" s="36">
        <v>27485</v>
      </c>
      <c r="AE24" s="36">
        <v>20833</v>
      </c>
      <c r="AF24" s="36">
        <v>20305</v>
      </c>
      <c r="AG24" s="36">
        <v>15761</v>
      </c>
      <c r="AH24" s="36">
        <v>6910</v>
      </c>
    </row>
    <row r="25" spans="1:34">
      <c r="A25">
        <v>2020</v>
      </c>
      <c r="B25" s="10">
        <v>-14.5</v>
      </c>
      <c r="C25" s="7">
        <v>448874000000</v>
      </c>
      <c r="D25" s="32">
        <v>14103</v>
      </c>
      <c r="E25" s="32">
        <v>1202</v>
      </c>
      <c r="F25" s="32">
        <v>12901</v>
      </c>
      <c r="G25" s="32">
        <v>1472</v>
      </c>
      <c r="H25" s="33">
        <v>48552</v>
      </c>
      <c r="I25" s="34">
        <v>710</v>
      </c>
      <c r="J25" s="35">
        <v>19172</v>
      </c>
      <c r="K25" s="35">
        <v>10920</v>
      </c>
      <c r="L25" s="35">
        <v>17750</v>
      </c>
      <c r="M25" s="35">
        <v>17033</v>
      </c>
      <c r="N25" s="35">
        <v>6093</v>
      </c>
      <c r="O25" s="35">
        <v>1549</v>
      </c>
      <c r="P25" s="36">
        <v>48931</v>
      </c>
      <c r="Q25" s="36">
        <v>47053</v>
      </c>
      <c r="R25" s="36">
        <v>22180</v>
      </c>
      <c r="S25" s="36">
        <v>11633</v>
      </c>
      <c r="T25" s="36">
        <v>20093</v>
      </c>
      <c r="U25" s="36">
        <v>55562</v>
      </c>
      <c r="V25" s="36">
        <v>29625</v>
      </c>
      <c r="W25" s="36">
        <v>2779</v>
      </c>
      <c r="X25" s="36">
        <v>9197</v>
      </c>
      <c r="Y25" s="36">
        <v>13961</v>
      </c>
      <c r="Z25" s="36">
        <v>25357</v>
      </c>
      <c r="AA25" s="36">
        <v>20849</v>
      </c>
      <c r="AB25" s="36">
        <v>21792</v>
      </c>
      <c r="AC25" s="36">
        <v>11245</v>
      </c>
      <c r="AD25" s="36">
        <v>28860</v>
      </c>
      <c r="AE25" s="36">
        <v>20841</v>
      </c>
      <c r="AF25" s="36">
        <v>20622</v>
      </c>
      <c r="AG25" s="36">
        <v>13159</v>
      </c>
      <c r="AH25" s="36">
        <v>5172</v>
      </c>
    </row>
    <row r="26" spans="1:34">
      <c r="A26">
        <v>2021</v>
      </c>
      <c r="B26" s="10">
        <v>3.4</v>
      </c>
      <c r="C26" s="7">
        <v>478807000000</v>
      </c>
      <c r="D26" s="32">
        <v>15706</v>
      </c>
      <c r="E26" s="32">
        <v>1519</v>
      </c>
      <c r="F26" s="32">
        <v>14187</v>
      </c>
      <c r="G26" s="32">
        <v>1658</v>
      </c>
      <c r="H26" s="33">
        <v>56013</v>
      </c>
      <c r="I26" s="34">
        <v>895</v>
      </c>
      <c r="J26" s="35">
        <v>21406</v>
      </c>
      <c r="K26" s="35">
        <v>12824</v>
      </c>
      <c r="L26" s="35">
        <v>20888</v>
      </c>
      <c r="M26" s="35">
        <v>22419</v>
      </c>
      <c r="N26" s="35">
        <v>5609</v>
      </c>
      <c r="O26" s="35">
        <v>1631</v>
      </c>
      <c r="P26" s="36">
        <v>50756</v>
      </c>
      <c r="Q26" s="36">
        <v>48706</v>
      </c>
      <c r="R26" s="36">
        <v>23174</v>
      </c>
      <c r="S26" s="36">
        <v>10719</v>
      </c>
      <c r="T26" s="36">
        <v>21588</v>
      </c>
      <c r="U26" s="36">
        <v>58829</v>
      </c>
      <c r="V26" s="36">
        <v>30218</v>
      </c>
      <c r="W26" s="36">
        <v>2706</v>
      </c>
      <c r="X26" s="36">
        <v>9559</v>
      </c>
      <c r="Y26" s="36">
        <v>16346</v>
      </c>
      <c r="Z26" s="36">
        <v>26042</v>
      </c>
      <c r="AA26" s="36">
        <v>21178</v>
      </c>
      <c r="AB26" s="36">
        <v>23838</v>
      </c>
      <c r="AC26" s="36">
        <v>12025</v>
      </c>
      <c r="AD26" s="36">
        <v>31282</v>
      </c>
      <c r="AE26" s="36">
        <v>21846</v>
      </c>
      <c r="AF26" s="36">
        <v>22540</v>
      </c>
      <c r="AG26" s="36">
        <v>12257</v>
      </c>
      <c r="AH26" s="36">
        <v>5552</v>
      </c>
    </row>
    <row r="27" spans="1:34">
      <c r="A27">
        <v>2022</v>
      </c>
      <c r="B27" s="10">
        <v>8.6999999999999993</v>
      </c>
      <c r="C27" s="7">
        <v>570301000000</v>
      </c>
      <c r="D27" s="32">
        <v>20320</v>
      </c>
      <c r="E27" s="32">
        <v>2202</v>
      </c>
      <c r="F27" s="32">
        <v>18118</v>
      </c>
      <c r="G27" s="32">
        <v>1896</v>
      </c>
      <c r="H27" s="33">
        <v>67453</v>
      </c>
      <c r="I27" s="35">
        <v>1319</v>
      </c>
      <c r="J27" s="35">
        <v>27625</v>
      </c>
      <c r="K27" s="35">
        <v>14466</v>
      </c>
      <c r="L27" s="35">
        <v>24043</v>
      </c>
      <c r="M27" s="35">
        <v>25926</v>
      </c>
      <c r="N27" s="35">
        <v>6310</v>
      </c>
      <c r="O27" s="35">
        <v>1675</v>
      </c>
      <c r="P27" s="36">
        <v>57065</v>
      </c>
      <c r="Q27" s="36">
        <v>54750</v>
      </c>
      <c r="R27" s="36">
        <v>25305</v>
      </c>
      <c r="S27" s="36">
        <v>31189</v>
      </c>
      <c r="T27" s="36">
        <v>22494</v>
      </c>
      <c r="U27" s="36">
        <v>67711</v>
      </c>
      <c r="V27" s="36">
        <v>34888</v>
      </c>
      <c r="W27" s="36">
        <v>3125</v>
      </c>
      <c r="X27" s="36">
        <v>10558</v>
      </c>
      <c r="Y27" s="36">
        <v>19140</v>
      </c>
      <c r="Z27" s="36">
        <v>27544</v>
      </c>
      <c r="AA27" s="36">
        <v>21923</v>
      </c>
      <c r="AB27" s="36">
        <v>27772</v>
      </c>
      <c r="AC27" s="36">
        <v>13878</v>
      </c>
      <c r="AD27" s="36">
        <v>34117</v>
      </c>
      <c r="AE27" s="36">
        <v>23254</v>
      </c>
      <c r="AF27" s="36">
        <v>25008</v>
      </c>
      <c r="AG27" s="36">
        <v>13678</v>
      </c>
      <c r="AH27" s="36">
        <v>6753</v>
      </c>
    </row>
    <row r="28" spans="1:34">
      <c r="A28">
        <v>2023</v>
      </c>
      <c r="B28" s="10">
        <v>5</v>
      </c>
      <c r="C28" s="7">
        <v>641331000000</v>
      </c>
      <c r="D28" s="32">
        <v>25571</v>
      </c>
      <c r="E28" s="32">
        <v>2719</v>
      </c>
      <c r="F28" s="32">
        <v>22852</v>
      </c>
      <c r="G28" s="32">
        <v>1953</v>
      </c>
      <c r="H28" s="41">
        <v>73259</v>
      </c>
      <c r="I28" s="42">
        <v>1632</v>
      </c>
      <c r="J28" s="42">
        <v>31249</v>
      </c>
      <c r="K28" s="42">
        <v>13580</v>
      </c>
      <c r="L28" s="42">
        <v>26798</v>
      </c>
      <c r="M28" s="42">
        <v>32325</v>
      </c>
      <c r="N28" s="42">
        <v>7538</v>
      </c>
      <c r="O28" s="42">
        <v>1803</v>
      </c>
      <c r="P28" s="43">
        <v>62951</v>
      </c>
      <c r="Q28" s="43">
        <v>60374</v>
      </c>
      <c r="R28" s="43">
        <v>31200</v>
      </c>
      <c r="S28" s="43">
        <v>39257</v>
      </c>
      <c r="T28" s="43">
        <v>24022</v>
      </c>
      <c r="U28" s="43">
        <v>76494</v>
      </c>
      <c r="V28" s="43">
        <v>40515</v>
      </c>
      <c r="W28" s="43">
        <v>3906</v>
      </c>
      <c r="X28" s="43">
        <v>10956</v>
      </c>
      <c r="Y28" s="43">
        <v>21117</v>
      </c>
      <c r="Z28" s="43">
        <v>28607</v>
      </c>
      <c r="AA28" s="43">
        <v>22259</v>
      </c>
      <c r="AB28" s="43">
        <v>30926</v>
      </c>
      <c r="AC28" s="43">
        <v>15459</v>
      </c>
      <c r="AD28" s="43">
        <v>35073</v>
      </c>
      <c r="AE28" s="43">
        <v>24232</v>
      </c>
      <c r="AF28" s="43">
        <v>25903</v>
      </c>
      <c r="AG28" s="43">
        <v>15120</v>
      </c>
      <c r="AH28" s="43">
        <v>7460</v>
      </c>
    </row>
    <row r="29" spans="1:34">
      <c r="A29">
        <v>2024</v>
      </c>
      <c r="B29" s="10">
        <v>4.7</v>
      </c>
      <c r="C29" s="7">
        <v>698537000000</v>
      </c>
    </row>
    <row r="30" spans="1:34" ht="48">
      <c r="A30" s="19"/>
      <c r="B30" s="15" t="s">
        <v>18</v>
      </c>
      <c r="C30" s="15" t="s">
        <v>18</v>
      </c>
    </row>
    <row r="31" spans="1:34">
      <c r="A31" s="19"/>
      <c r="B31" s="19"/>
      <c r="C31" s="19"/>
    </row>
    <row r="32" spans="1:34">
      <c r="A32" s="19"/>
      <c r="B32" s="19"/>
      <c r="C32" s="19"/>
    </row>
    <row r="33" spans="1:3">
      <c r="A33" s="19"/>
      <c r="B33" s="19"/>
      <c r="C33" s="19"/>
    </row>
    <row r="34" spans="1:3">
      <c r="A34" s="19"/>
      <c r="B34" s="19"/>
      <c r="C34" s="19"/>
    </row>
    <row r="35" spans="1:3">
      <c r="A35" s="19"/>
      <c r="B35" s="19"/>
      <c r="C35" s="19"/>
    </row>
    <row r="36" spans="1:3">
      <c r="A36" s="19"/>
      <c r="B36" s="19"/>
      <c r="C36" s="19"/>
    </row>
    <row r="37" spans="1:3">
      <c r="A37" s="19"/>
      <c r="B37" s="19"/>
      <c r="C37" s="19"/>
    </row>
    <row r="38" spans="1:3">
      <c r="A38" s="19"/>
      <c r="B38" s="19"/>
      <c r="C38" s="19"/>
    </row>
    <row r="39" spans="1:3">
      <c r="A39" s="19"/>
      <c r="B39" s="19"/>
      <c r="C39" s="19"/>
    </row>
    <row r="40" spans="1:3">
      <c r="A40" s="19"/>
      <c r="B40" s="19"/>
      <c r="C40" s="19"/>
    </row>
    <row r="41" spans="1:3">
      <c r="A41" s="19"/>
      <c r="B41" s="19"/>
      <c r="C41" s="19"/>
    </row>
    <row r="42" spans="1:3">
      <c r="A42" s="19"/>
      <c r="B42" s="19"/>
      <c r="C42" s="19"/>
    </row>
    <row r="43" spans="1:3">
      <c r="A43" s="19"/>
      <c r="B43" s="19"/>
      <c r="C43" s="19"/>
    </row>
    <row r="44" spans="1:3">
      <c r="A44" s="19"/>
      <c r="B44" s="19"/>
      <c r="C44" s="19"/>
    </row>
    <row r="45" spans="1:3">
      <c r="A45" s="19"/>
      <c r="B45" s="19"/>
      <c r="C45" s="19"/>
    </row>
    <row r="46" spans="1:3">
      <c r="A46" s="19"/>
      <c r="B46" s="19"/>
      <c r="C46" s="19"/>
    </row>
  </sheetData>
  <mergeCells count="6">
    <mergeCell ref="P1:AH1"/>
    <mergeCell ref="C1:C2"/>
    <mergeCell ref="B1:B2"/>
    <mergeCell ref="A1:A2"/>
    <mergeCell ref="D1:G1"/>
    <mergeCell ref="H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B3A8-5735-46C1-9835-F193FFED2DCA}">
  <dimension ref="A1:I48"/>
  <sheetViews>
    <sheetView workbookViewId="0">
      <selection activeCell="B11" sqref="B2:B11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0.1640625" bestFit="1" customWidth="1"/>
    <col min="6" max="8" width="17.5" bestFit="1" customWidth="1"/>
    <col min="9" max="9" width="30.1640625" bestFit="1" customWidth="1"/>
  </cols>
  <sheetData>
    <row r="1" spans="1:9" ht="16">
      <c r="A1" s="3" t="s">
        <v>0</v>
      </c>
      <c r="B1" s="4" t="s">
        <v>68</v>
      </c>
      <c r="C1" s="3" t="s">
        <v>69</v>
      </c>
      <c r="D1" s="3" t="s">
        <v>15</v>
      </c>
      <c r="E1" s="44" t="s">
        <v>63</v>
      </c>
      <c r="F1" s="44" t="s">
        <v>64</v>
      </c>
      <c r="G1" s="44" t="s">
        <v>65</v>
      </c>
      <c r="H1" s="44" t="s">
        <v>66</v>
      </c>
      <c r="I1" s="44" t="s">
        <v>67</v>
      </c>
    </row>
    <row r="2" spans="1:9">
      <c r="A2" s="6">
        <v>1995</v>
      </c>
      <c r="B2" s="46">
        <v>4.3</v>
      </c>
      <c r="C2" s="47">
        <v>70246000000</v>
      </c>
      <c r="D2" s="6">
        <v>6</v>
      </c>
      <c r="E2" s="49">
        <v>863300000</v>
      </c>
      <c r="F2" s="49">
        <v>940900000</v>
      </c>
      <c r="G2" s="49">
        <v>1263800000</v>
      </c>
      <c r="H2" s="49">
        <v>1100500000</v>
      </c>
      <c r="I2" s="49">
        <v>4978500000</v>
      </c>
    </row>
    <row r="3" spans="1:9">
      <c r="A3" s="6">
        <v>1996</v>
      </c>
      <c r="B3" s="46">
        <v>4.3</v>
      </c>
      <c r="C3" s="47">
        <v>79365000000</v>
      </c>
      <c r="D3" s="6">
        <v>6.6</v>
      </c>
      <c r="E3" s="49">
        <v>991100000</v>
      </c>
      <c r="F3" s="49">
        <v>981600000</v>
      </c>
      <c r="G3" s="49">
        <v>1356900000</v>
      </c>
      <c r="H3" s="49">
        <v>1162500000</v>
      </c>
      <c r="I3" s="49">
        <v>4898200000</v>
      </c>
    </row>
    <row r="4" spans="1:9">
      <c r="A4" s="6">
        <v>1997</v>
      </c>
      <c r="B4" s="46">
        <v>4.3</v>
      </c>
      <c r="C4" s="47">
        <v>88175000000</v>
      </c>
      <c r="D4" s="6">
        <v>6.6</v>
      </c>
      <c r="E4" s="49">
        <v>1219900000</v>
      </c>
      <c r="F4" s="49">
        <v>1067200000</v>
      </c>
      <c r="G4" s="49">
        <v>2441900000</v>
      </c>
      <c r="H4" s="49">
        <v>1276100000</v>
      </c>
      <c r="I4" s="49">
        <v>5569700000</v>
      </c>
    </row>
    <row r="5" spans="1:9">
      <c r="A5" s="6">
        <v>1998</v>
      </c>
      <c r="B5" s="46">
        <v>4.3</v>
      </c>
      <c r="C5" s="47">
        <v>100042000000</v>
      </c>
      <c r="D5" s="6">
        <v>6.8</v>
      </c>
      <c r="E5" s="49">
        <v>1237700000</v>
      </c>
      <c r="F5" s="49">
        <v>1170900000</v>
      </c>
      <c r="G5" s="49">
        <v>2723800000</v>
      </c>
      <c r="H5" s="49">
        <v>1529400000</v>
      </c>
      <c r="I5" s="49">
        <v>6157000000</v>
      </c>
    </row>
    <row r="6" spans="1:9">
      <c r="A6" s="6">
        <v>1999</v>
      </c>
      <c r="B6" s="46">
        <v>4.3</v>
      </c>
      <c r="C6" s="47">
        <v>109400000000</v>
      </c>
      <c r="D6" s="6">
        <v>6.9</v>
      </c>
      <c r="E6" s="49">
        <v>1362800000</v>
      </c>
      <c r="F6" s="49">
        <v>1337000000</v>
      </c>
      <c r="G6" s="49">
        <v>4638600000</v>
      </c>
      <c r="H6" s="49">
        <v>1775900000</v>
      </c>
      <c r="I6" s="49">
        <v>5973000000</v>
      </c>
    </row>
    <row r="7" spans="1:9">
      <c r="A7" s="6">
        <v>2000</v>
      </c>
      <c r="B7" s="46">
        <v>4.3</v>
      </c>
      <c r="C7" s="47">
        <v>122410000000</v>
      </c>
      <c r="D7" s="6">
        <v>4.2</v>
      </c>
      <c r="E7" s="49">
        <v>1539700000</v>
      </c>
      <c r="F7" s="49">
        <v>1340900000</v>
      </c>
      <c r="G7" s="49">
        <v>5604400000</v>
      </c>
      <c r="H7" s="49">
        <v>2159500000</v>
      </c>
      <c r="I7" s="49">
        <v>6935200000</v>
      </c>
    </row>
    <row r="8" spans="1:9">
      <c r="A8" s="6">
        <v>2001</v>
      </c>
      <c r="B8" s="46">
        <v>4.3</v>
      </c>
      <c r="C8" s="47">
        <v>134392000000</v>
      </c>
      <c r="D8" s="6">
        <v>5.4</v>
      </c>
      <c r="E8" s="49">
        <v>1517900000</v>
      </c>
      <c r="F8" s="49">
        <v>1521200000</v>
      </c>
      <c r="G8" s="49">
        <v>5924500000</v>
      </c>
      <c r="H8" s="49">
        <v>2106900000</v>
      </c>
      <c r="I8" s="49">
        <v>6349100000</v>
      </c>
    </row>
    <row r="9" spans="1:9">
      <c r="A9" s="6">
        <v>2002</v>
      </c>
      <c r="B9" s="46">
        <v>4.3</v>
      </c>
      <c r="C9" s="47">
        <v>145055000000</v>
      </c>
      <c r="D9" s="6">
        <v>6.4</v>
      </c>
      <c r="E9" s="49">
        <v>1619000000</v>
      </c>
      <c r="F9" s="49">
        <v>1874000000</v>
      </c>
      <c r="G9" s="49">
        <v>7053400000</v>
      </c>
      <c r="H9" s="49">
        <v>2298600000</v>
      </c>
      <c r="I9" s="49">
        <v>5893400000</v>
      </c>
    </row>
    <row r="10" spans="1:9">
      <c r="A10" s="6">
        <v>2003</v>
      </c>
      <c r="B10" s="46">
        <v>4.3</v>
      </c>
      <c r="C10" s="47">
        <v>162291000000</v>
      </c>
      <c r="D10" s="6">
        <v>3.9</v>
      </c>
      <c r="E10" s="49">
        <v>1859000000</v>
      </c>
      <c r="F10" s="49">
        <v>2154500000</v>
      </c>
      <c r="G10" s="49">
        <v>9812200000</v>
      </c>
      <c r="H10" s="49">
        <v>2332200000</v>
      </c>
      <c r="I10" s="49">
        <v>6522600000</v>
      </c>
    </row>
    <row r="11" spans="1:9">
      <c r="A11" s="6">
        <v>2004</v>
      </c>
      <c r="B11" s="46">
        <v>4.3</v>
      </c>
      <c r="C11" s="47">
        <v>180908000000</v>
      </c>
      <c r="D11" s="6">
        <v>4.7</v>
      </c>
      <c r="E11" s="49">
        <v>2264500000</v>
      </c>
      <c r="F11" s="49">
        <v>2404800000</v>
      </c>
      <c r="G11" s="49">
        <v>11190800000</v>
      </c>
      <c r="H11" s="49">
        <v>2407900000</v>
      </c>
      <c r="I11" s="49">
        <v>7385400000</v>
      </c>
    </row>
    <row r="12" spans="1:9">
      <c r="A12" s="6">
        <v>2005</v>
      </c>
      <c r="B12" s="46">
        <v>2.7</v>
      </c>
      <c r="C12" s="47">
        <v>191393000000</v>
      </c>
      <c r="D12" s="6">
        <v>4.9000000000000004</v>
      </c>
      <c r="E12" s="49">
        <v>2553200000</v>
      </c>
      <c r="F12" s="49">
        <v>3275800000</v>
      </c>
      <c r="G12" s="49">
        <v>12529300000</v>
      </c>
      <c r="H12" s="49">
        <v>2838400000</v>
      </c>
      <c r="I12" s="49">
        <v>7730500000</v>
      </c>
    </row>
    <row r="13" spans="1:9">
      <c r="A13" s="6">
        <v>2006</v>
      </c>
      <c r="B13" s="46">
        <v>5.6</v>
      </c>
      <c r="C13" s="47">
        <v>222870000000</v>
      </c>
      <c r="D13" s="6">
        <v>8.9</v>
      </c>
      <c r="E13" s="49">
        <v>2767900000</v>
      </c>
      <c r="F13" s="49">
        <v>4701000000</v>
      </c>
      <c r="G13" s="49">
        <v>13709500000</v>
      </c>
      <c r="H13" s="49">
        <v>2467800000</v>
      </c>
      <c r="I13" s="49">
        <v>7195400000</v>
      </c>
    </row>
    <row r="14" spans="1:9">
      <c r="A14" s="6">
        <v>2007</v>
      </c>
      <c r="B14" s="46">
        <v>5.7</v>
      </c>
      <c r="C14" s="47">
        <v>255211000000</v>
      </c>
      <c r="D14" s="6">
        <v>8.8000000000000007</v>
      </c>
      <c r="E14" s="49">
        <v>2332300000</v>
      </c>
      <c r="F14" s="49">
        <v>5275300000</v>
      </c>
      <c r="G14" s="49">
        <v>15468100000</v>
      </c>
      <c r="H14" s="49">
        <v>2998900000</v>
      </c>
      <c r="I14" s="49">
        <v>6299200000</v>
      </c>
    </row>
    <row r="15" spans="1:9">
      <c r="A15" s="6">
        <v>2008</v>
      </c>
      <c r="B15" s="46">
        <v>5.4</v>
      </c>
      <c r="C15" s="47">
        <v>284254000000</v>
      </c>
      <c r="D15" s="6">
        <v>9.6999999999999993</v>
      </c>
      <c r="E15" s="49">
        <v>3405700000</v>
      </c>
      <c r="F15" s="49">
        <v>6236400000</v>
      </c>
      <c r="G15" s="49">
        <v>18542000000</v>
      </c>
      <c r="H15" s="49">
        <v>4198000000</v>
      </c>
      <c r="I15" s="49">
        <v>6646200000</v>
      </c>
    </row>
    <row r="16" spans="1:9">
      <c r="A16" s="6">
        <v>2009</v>
      </c>
      <c r="B16" s="46">
        <v>3.3</v>
      </c>
      <c r="C16" s="47">
        <v>291756000000</v>
      </c>
      <c r="D16" s="6">
        <v>2.5</v>
      </c>
      <c r="E16" s="49">
        <v>4053190000</v>
      </c>
      <c r="F16" s="49">
        <v>10259000000</v>
      </c>
      <c r="G16" s="49">
        <v>18980080000</v>
      </c>
      <c r="H16" s="49">
        <v>8505510000</v>
      </c>
      <c r="I16" s="49">
        <v>1501240000</v>
      </c>
    </row>
    <row r="17" spans="1:9">
      <c r="A17" s="6">
        <v>2010</v>
      </c>
      <c r="B17" s="46">
        <v>4.4000000000000004</v>
      </c>
      <c r="C17" s="47">
        <v>307957000000</v>
      </c>
      <c r="D17" s="6">
        <v>2.9</v>
      </c>
      <c r="E17" s="49">
        <v>2287700000</v>
      </c>
      <c r="F17" s="49">
        <v>5210600000</v>
      </c>
      <c r="G17" s="49">
        <v>9982000000</v>
      </c>
      <c r="H17" s="49">
        <v>4627500000</v>
      </c>
      <c r="I17" s="49">
        <v>801600000</v>
      </c>
    </row>
    <row r="18" spans="1:9">
      <c r="A18" s="6">
        <v>2011</v>
      </c>
      <c r="B18" s="46">
        <v>4.0999999999999996</v>
      </c>
      <c r="C18" s="47">
        <v>330647000000</v>
      </c>
      <c r="D18" s="6">
        <v>6.5</v>
      </c>
      <c r="E18" s="49">
        <v>4497100000</v>
      </c>
      <c r="F18" s="49">
        <v>8428000000</v>
      </c>
      <c r="G18" s="49">
        <v>21094400000</v>
      </c>
      <c r="H18" s="49">
        <v>9331000000</v>
      </c>
      <c r="I18" s="49">
        <v>1525200000</v>
      </c>
    </row>
    <row r="19" spans="1:9">
      <c r="A19" s="6">
        <v>2012</v>
      </c>
      <c r="B19" s="46">
        <v>3.5</v>
      </c>
      <c r="C19" s="47">
        <v>350644000000</v>
      </c>
      <c r="D19" s="6">
        <v>3.9</v>
      </c>
      <c r="E19" s="49">
        <v>4913300000</v>
      </c>
      <c r="F19" s="49">
        <v>7847000000</v>
      </c>
      <c r="G19" s="49">
        <v>22713600000</v>
      </c>
      <c r="H19" s="49">
        <v>11487100000</v>
      </c>
      <c r="I19" s="49">
        <v>1560300000</v>
      </c>
    </row>
    <row r="20" spans="1:9">
      <c r="A20" s="6">
        <v>2013</v>
      </c>
      <c r="B20" s="46">
        <v>3.4</v>
      </c>
      <c r="C20" s="47">
        <v>377411000000</v>
      </c>
      <c r="D20" s="6">
        <v>3.5</v>
      </c>
      <c r="E20" s="49">
        <v>5331400000</v>
      </c>
      <c r="F20" s="49">
        <v>8371600000</v>
      </c>
      <c r="G20" s="49">
        <v>24958100000</v>
      </c>
      <c r="H20" s="49">
        <v>13038700000</v>
      </c>
      <c r="I20" s="49">
        <v>1505900000</v>
      </c>
    </row>
    <row r="21" spans="1:9">
      <c r="A21" s="6">
        <v>2014</v>
      </c>
      <c r="B21" s="46">
        <v>3.8</v>
      </c>
      <c r="C21" s="47">
        <v>400351000000</v>
      </c>
      <c r="D21" s="6">
        <v>3.2</v>
      </c>
      <c r="E21" s="49">
        <v>6214600000</v>
      </c>
      <c r="F21" s="49">
        <v>8726900000</v>
      </c>
      <c r="G21" s="49">
        <v>25999900000</v>
      </c>
      <c r="H21" s="49">
        <v>13556600000</v>
      </c>
      <c r="I21" s="49">
        <v>1389400000</v>
      </c>
    </row>
    <row r="22" spans="1:9">
      <c r="A22" s="6">
        <v>2015</v>
      </c>
      <c r="B22" s="46">
        <v>3.7</v>
      </c>
      <c r="C22" s="47">
        <v>420936000000</v>
      </c>
      <c r="D22" s="6">
        <v>1.3</v>
      </c>
      <c r="E22" s="49">
        <v>7048600000</v>
      </c>
      <c r="F22" s="49">
        <v>8972100000</v>
      </c>
      <c r="G22" s="49">
        <v>31385200000</v>
      </c>
      <c r="H22" s="49">
        <v>14423100000</v>
      </c>
      <c r="I22" s="49">
        <v>1238700000</v>
      </c>
    </row>
    <row r="23" spans="1:9">
      <c r="A23" s="6">
        <v>2016</v>
      </c>
      <c r="B23" s="46">
        <v>3.9</v>
      </c>
      <c r="C23" s="47">
        <v>447620000000</v>
      </c>
      <c r="D23" s="6">
        <v>1</v>
      </c>
      <c r="E23" s="49">
        <v>4022700000</v>
      </c>
      <c r="F23" s="49">
        <v>4583200000</v>
      </c>
      <c r="G23" s="49">
        <v>16108400000</v>
      </c>
      <c r="H23" s="49">
        <v>7061000000</v>
      </c>
      <c r="I23" s="49">
        <v>530000000</v>
      </c>
    </row>
    <row r="24" spans="1:9">
      <c r="A24" s="6">
        <v>2017</v>
      </c>
      <c r="B24" s="46">
        <v>3.9</v>
      </c>
      <c r="C24" s="47">
        <v>472861000000</v>
      </c>
      <c r="D24" s="6">
        <v>3.7</v>
      </c>
      <c r="E24" s="49">
        <v>7620750000</v>
      </c>
      <c r="F24" s="49">
        <v>10458690000</v>
      </c>
      <c r="G24" s="49">
        <v>34496660000</v>
      </c>
      <c r="H24" s="49">
        <v>15632502000</v>
      </c>
      <c r="I24" s="49">
        <v>1346930000</v>
      </c>
    </row>
    <row r="25" spans="1:9">
      <c r="A25" s="6">
        <v>2018</v>
      </c>
      <c r="B25" s="46">
        <v>4</v>
      </c>
      <c r="C25" s="47">
        <v>500047000000</v>
      </c>
      <c r="D25" s="6">
        <v>3.2</v>
      </c>
      <c r="E25" s="49">
        <v>8661500000</v>
      </c>
      <c r="F25" s="49">
        <v>11881100000</v>
      </c>
      <c r="G25" s="49">
        <v>36195515733</v>
      </c>
      <c r="H25" s="49">
        <v>17276583010</v>
      </c>
      <c r="I25" s="49">
        <v>1176900000</v>
      </c>
    </row>
    <row r="26" spans="1:9">
      <c r="A26" s="6">
        <v>2019</v>
      </c>
      <c r="B26" s="46">
        <v>2.9</v>
      </c>
      <c r="C26" s="47">
        <v>512108000000</v>
      </c>
      <c r="D26" s="6">
        <v>0.5</v>
      </c>
      <c r="E26" s="49">
        <v>9526700000</v>
      </c>
      <c r="F26" s="49">
        <v>12403000000</v>
      </c>
      <c r="G26" s="49">
        <v>38854078193.999992</v>
      </c>
      <c r="H26" s="49">
        <v>20108759712.000008</v>
      </c>
      <c r="I26" s="49">
        <v>1344068492</v>
      </c>
    </row>
    <row r="27" spans="1:9">
      <c r="A27" s="6">
        <v>2020</v>
      </c>
      <c r="B27" s="46">
        <v>-14.5</v>
      </c>
      <c r="C27" s="47">
        <v>448874000000</v>
      </c>
      <c r="D27" s="6">
        <v>2.5</v>
      </c>
      <c r="E27" s="49">
        <v>10452600000</v>
      </c>
      <c r="F27" s="49">
        <v>14555700000</v>
      </c>
      <c r="G27" s="49">
        <v>40877400000</v>
      </c>
      <c r="H27" s="49">
        <v>20871000000</v>
      </c>
      <c r="I27" s="49">
        <v>1379400000</v>
      </c>
    </row>
    <row r="28" spans="1:9">
      <c r="A28" s="6">
        <v>2021</v>
      </c>
      <c r="B28" s="46">
        <v>3.4</v>
      </c>
      <c r="C28" s="47">
        <v>478807000000</v>
      </c>
      <c r="D28" s="6">
        <v>4</v>
      </c>
      <c r="E28" s="49">
        <v>11250900000</v>
      </c>
      <c r="F28" s="49">
        <v>13905900000</v>
      </c>
      <c r="G28" s="49">
        <v>37667500000</v>
      </c>
      <c r="H28" s="49">
        <v>18925000000</v>
      </c>
      <c r="I28" s="49">
        <v>1216300000</v>
      </c>
    </row>
    <row r="29" spans="1:9">
      <c r="B29" s="10"/>
      <c r="C29" s="7"/>
      <c r="E29" s="45"/>
      <c r="F29" s="45"/>
      <c r="G29" s="45"/>
      <c r="H29" s="45"/>
      <c r="I29" s="45"/>
    </row>
    <row r="30" spans="1:9">
      <c r="B30" s="10"/>
      <c r="C30" s="7"/>
      <c r="E30" s="45"/>
      <c r="F30" s="45"/>
      <c r="G30" s="45"/>
      <c r="H30" s="45"/>
      <c r="I30" s="45"/>
    </row>
    <row r="31" spans="1:9" ht="16">
      <c r="B31" s="10"/>
      <c r="C31" s="7"/>
      <c r="D31" s="11"/>
      <c r="E31" s="45"/>
      <c r="F31" s="45"/>
      <c r="G31" s="45"/>
      <c r="H31" s="45"/>
      <c r="I31" s="45"/>
    </row>
    <row r="32" spans="1:9">
      <c r="A32" s="19"/>
      <c r="B32" s="15"/>
      <c r="C32" s="15"/>
      <c r="D32" s="15"/>
    </row>
    <row r="33" spans="1:4">
      <c r="A33" s="19"/>
      <c r="B33" s="19"/>
      <c r="C33" s="19"/>
      <c r="D33" s="19"/>
    </row>
    <row r="34" spans="1:4">
      <c r="A34" s="19"/>
      <c r="B34" s="19"/>
      <c r="C34" s="19"/>
      <c r="D34" s="19"/>
    </row>
    <row r="35" spans="1:4">
      <c r="A35" s="19"/>
      <c r="B35" s="19"/>
      <c r="C35" s="19"/>
      <c r="D35" s="19"/>
    </row>
    <row r="36" spans="1:4">
      <c r="A36" s="19"/>
      <c r="B36" s="19"/>
      <c r="C36" s="19"/>
      <c r="D36" s="19"/>
    </row>
    <row r="37" spans="1:4">
      <c r="A37" s="19"/>
      <c r="B37" s="19"/>
      <c r="C37" s="19"/>
      <c r="D37" s="19"/>
    </row>
    <row r="38" spans="1:4">
      <c r="A38" s="19"/>
      <c r="B38" s="19"/>
      <c r="C38" s="19"/>
      <c r="D38" s="19"/>
    </row>
    <row r="39" spans="1:4">
      <c r="A39" s="19"/>
      <c r="B39" s="19"/>
      <c r="C39" s="19"/>
      <c r="D39" s="19"/>
    </row>
    <row r="40" spans="1:4">
      <c r="A40" s="19"/>
      <c r="B40" s="19"/>
      <c r="C40" s="19"/>
      <c r="D40" s="19"/>
    </row>
    <row r="41" spans="1:4">
      <c r="A41" s="19"/>
      <c r="B41" s="19"/>
      <c r="C41" s="19"/>
      <c r="D41" s="19"/>
    </row>
    <row r="42" spans="1:4">
      <c r="A42" s="19"/>
      <c r="B42" s="19"/>
      <c r="C42" s="19"/>
      <c r="D42" s="19"/>
    </row>
    <row r="43" spans="1:4">
      <c r="A43" s="19"/>
      <c r="B43" s="19"/>
      <c r="C43" s="19"/>
      <c r="D43" s="19"/>
    </row>
    <row r="44" spans="1:4">
      <c r="A44" s="19"/>
      <c r="B44" s="19"/>
      <c r="C44" s="19"/>
      <c r="D44" s="19"/>
    </row>
    <row r="45" spans="1:4">
      <c r="A45" s="19"/>
      <c r="B45" s="19"/>
      <c r="C45" s="19"/>
      <c r="D45" s="19"/>
    </row>
    <row r="46" spans="1:4">
      <c r="A46" s="19"/>
      <c r="B46" s="19"/>
      <c r="C46" s="19"/>
      <c r="D46" s="19"/>
    </row>
    <row r="47" spans="1:4">
      <c r="A47" s="19"/>
      <c r="B47" s="19"/>
      <c r="C47" s="19"/>
      <c r="D47" s="19"/>
    </row>
    <row r="48" spans="1:4">
      <c r="A48" s="19"/>
      <c r="B48" s="19"/>
      <c r="C48" s="19"/>
      <c r="D48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E8D6-2DDC-447F-9FC4-4937D985947E}">
  <dimension ref="A1:G44"/>
  <sheetViews>
    <sheetView tabSelected="1" workbookViewId="0">
      <selection activeCell="J21" sqref="J21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21.33203125" customWidth="1"/>
    <col min="5" max="7" width="16.5" customWidth="1"/>
  </cols>
  <sheetData>
    <row r="1" spans="1:7" ht="32">
      <c r="A1" s="3" t="s">
        <v>0</v>
      </c>
      <c r="B1" s="4" t="s">
        <v>68</v>
      </c>
      <c r="C1" s="3" t="s">
        <v>69</v>
      </c>
      <c r="D1" s="3" t="s">
        <v>1</v>
      </c>
      <c r="E1" s="3" t="s">
        <v>2</v>
      </c>
      <c r="F1" s="4" t="s">
        <v>5</v>
      </c>
      <c r="G1" s="4" t="s">
        <v>8</v>
      </c>
    </row>
    <row r="2" spans="1:7">
      <c r="A2" s="6">
        <v>1995</v>
      </c>
      <c r="B2" s="46">
        <v>4.3</v>
      </c>
      <c r="C2" s="47">
        <v>70246000000</v>
      </c>
      <c r="D2" s="6">
        <v>27326000000</v>
      </c>
      <c r="E2" s="6">
        <v>34363000000</v>
      </c>
      <c r="F2" s="6">
        <v>325000000</v>
      </c>
      <c r="G2" s="6">
        <v>16499000000</v>
      </c>
    </row>
    <row r="3" spans="1:7">
      <c r="A3" s="6">
        <v>1996</v>
      </c>
      <c r="B3" s="46">
        <v>4.3</v>
      </c>
      <c r="C3" s="47">
        <v>79365000000</v>
      </c>
      <c r="D3" s="6">
        <v>32312000000</v>
      </c>
      <c r="E3" s="6">
        <v>41082000000</v>
      </c>
      <c r="F3" s="6">
        <v>658000000</v>
      </c>
      <c r="G3" s="6">
        <v>19709000000</v>
      </c>
    </row>
    <row r="4" spans="1:7">
      <c r="A4" s="6">
        <v>1997</v>
      </c>
      <c r="B4" s="46">
        <v>4.3</v>
      </c>
      <c r="C4" s="47">
        <v>88175000000</v>
      </c>
      <c r="D4" s="6">
        <v>33694000000</v>
      </c>
      <c r="E4" s="6">
        <v>46093000000</v>
      </c>
      <c r="F4" s="6">
        <v>1164000000</v>
      </c>
      <c r="G4" s="6">
        <v>22734000000</v>
      </c>
    </row>
    <row r="5" spans="1:7">
      <c r="A5" s="6">
        <v>1998</v>
      </c>
      <c r="B5" s="46">
        <v>4.3</v>
      </c>
      <c r="C5" s="47">
        <v>100042000000</v>
      </c>
      <c r="D5" s="6">
        <v>40051000000</v>
      </c>
      <c r="E5" s="6">
        <v>49742000000</v>
      </c>
      <c r="F5" s="6">
        <v>292000000</v>
      </c>
      <c r="G5" s="6">
        <v>22870000000</v>
      </c>
    </row>
    <row r="6" spans="1:7">
      <c r="A6" s="6">
        <v>1999</v>
      </c>
      <c r="B6" s="46">
        <v>4.3</v>
      </c>
      <c r="C6" s="47">
        <v>109400000000</v>
      </c>
      <c r="D6" s="6">
        <v>40025000000</v>
      </c>
      <c r="E6" s="6">
        <v>56629000000</v>
      </c>
      <c r="F6" s="6">
        <v>1243000000</v>
      </c>
      <c r="G6" s="6">
        <v>29457000000</v>
      </c>
    </row>
    <row r="7" spans="1:7">
      <c r="A7" s="6">
        <v>2000</v>
      </c>
      <c r="B7" s="46">
        <v>4.3</v>
      </c>
      <c r="C7" s="47">
        <v>122410000000</v>
      </c>
      <c r="D7" s="6">
        <v>40882000000</v>
      </c>
      <c r="E7" s="6">
        <v>54928000000</v>
      </c>
      <c r="F7" s="6">
        <v>7265000000</v>
      </c>
      <c r="G7" s="6">
        <v>27595000000</v>
      </c>
    </row>
    <row r="8" spans="1:7">
      <c r="A8" s="6">
        <v>2001</v>
      </c>
      <c r="B8" s="46">
        <v>4.3</v>
      </c>
      <c r="C8" s="47">
        <v>134392000000</v>
      </c>
      <c r="D8" s="6">
        <v>47511000000</v>
      </c>
      <c r="E8" s="6">
        <v>57940000000</v>
      </c>
      <c r="F8" s="6">
        <v>936000000</v>
      </c>
      <c r="G8" s="6">
        <v>29981000000</v>
      </c>
    </row>
    <row r="9" spans="1:7">
      <c r="A9" s="6">
        <v>2002</v>
      </c>
      <c r="B9" s="46">
        <v>4.3</v>
      </c>
      <c r="C9" s="47">
        <v>145055000000</v>
      </c>
      <c r="D9" s="6">
        <v>53893000000</v>
      </c>
      <c r="E9" s="6">
        <v>64608000000</v>
      </c>
      <c r="F9" s="6">
        <v>976000000</v>
      </c>
      <c r="G9" s="6">
        <v>31075000000</v>
      </c>
    </row>
    <row r="10" spans="1:7">
      <c r="A10" s="6">
        <v>2003</v>
      </c>
      <c r="B10" s="46">
        <v>4.3</v>
      </c>
      <c r="C10" s="47">
        <v>162291000000</v>
      </c>
      <c r="D10" s="6">
        <v>53022000000</v>
      </c>
      <c r="E10" s="6">
        <v>65942000000</v>
      </c>
      <c r="F10" s="6">
        <v>1966000000</v>
      </c>
      <c r="G10" s="6">
        <v>36508000000</v>
      </c>
    </row>
    <row r="11" spans="1:7">
      <c r="A11" s="6">
        <v>2004</v>
      </c>
      <c r="B11" s="46">
        <v>4.3</v>
      </c>
      <c r="C11" s="47">
        <v>180908000000</v>
      </c>
      <c r="D11" s="6">
        <v>54905000000</v>
      </c>
      <c r="E11" s="6">
        <v>76387000000</v>
      </c>
      <c r="F11" s="6">
        <v>1796000000</v>
      </c>
      <c r="G11" s="6">
        <v>39271000000</v>
      </c>
    </row>
    <row r="12" spans="1:7">
      <c r="A12" s="6">
        <v>2005</v>
      </c>
      <c r="B12" s="46">
        <v>2.7</v>
      </c>
      <c r="C12" s="47">
        <v>191393000000</v>
      </c>
      <c r="D12" s="6">
        <v>63219000000</v>
      </c>
      <c r="E12" s="6">
        <v>93282000000</v>
      </c>
      <c r="F12" s="6">
        <v>2807000000</v>
      </c>
      <c r="G12" s="6">
        <v>41111000000</v>
      </c>
    </row>
    <row r="13" spans="1:7">
      <c r="A13" s="6">
        <v>2006</v>
      </c>
      <c r="B13" s="46">
        <v>5.6</v>
      </c>
      <c r="C13" s="47">
        <v>222870000000</v>
      </c>
      <c r="D13" s="6">
        <v>74037000000</v>
      </c>
      <c r="E13" s="6">
        <v>115502000000</v>
      </c>
      <c r="F13" s="6">
        <v>7222000000</v>
      </c>
      <c r="G13" s="6">
        <v>51695000000</v>
      </c>
    </row>
    <row r="14" spans="1:7">
      <c r="A14" s="6">
        <v>2007</v>
      </c>
      <c r="B14" s="46">
        <v>5.7</v>
      </c>
      <c r="C14" s="47">
        <v>255211000000</v>
      </c>
      <c r="D14" s="6">
        <v>69708000000</v>
      </c>
      <c r="E14" s="6">
        <v>121037000000</v>
      </c>
      <c r="F14" s="6">
        <v>11514000000</v>
      </c>
      <c r="G14" s="6">
        <v>61239000000</v>
      </c>
    </row>
    <row r="15" spans="1:7">
      <c r="A15" s="6">
        <v>2008</v>
      </c>
      <c r="B15" s="46">
        <v>5.4</v>
      </c>
      <c r="C15" s="47">
        <v>284254000000</v>
      </c>
      <c r="D15" s="6">
        <v>67970000000</v>
      </c>
      <c r="E15" s="6">
        <v>132165000000</v>
      </c>
      <c r="F15" s="6">
        <v>11419000000</v>
      </c>
      <c r="G15" s="6">
        <v>67529000000</v>
      </c>
    </row>
    <row r="16" spans="1:7">
      <c r="A16" s="6">
        <v>2009</v>
      </c>
      <c r="B16" s="46">
        <v>3.3</v>
      </c>
      <c r="C16" s="47">
        <v>291756000000</v>
      </c>
      <c r="D16" s="6">
        <v>61681000000</v>
      </c>
      <c r="E16" s="6">
        <v>118444000000</v>
      </c>
      <c r="F16" s="6">
        <v>8793000000</v>
      </c>
      <c r="G16" s="6">
        <v>74430000000</v>
      </c>
    </row>
    <row r="17" spans="1:7">
      <c r="A17" s="6">
        <v>2010</v>
      </c>
      <c r="B17" s="46">
        <v>4.4000000000000004</v>
      </c>
      <c r="C17" s="47">
        <v>307957000000</v>
      </c>
      <c r="D17" s="6">
        <v>69550000000</v>
      </c>
      <c r="E17" s="6">
        <v>134882000000</v>
      </c>
      <c r="F17" s="6">
        <v>13948000000</v>
      </c>
      <c r="G17" s="6">
        <v>74395000000</v>
      </c>
    </row>
    <row r="18" spans="1:7">
      <c r="A18" s="6">
        <v>2011</v>
      </c>
      <c r="B18" s="46">
        <v>4.0999999999999996</v>
      </c>
      <c r="C18" s="47">
        <v>330647000000</v>
      </c>
      <c r="D18" s="6">
        <v>73586000000</v>
      </c>
      <c r="E18" s="6">
        <v>147815000000</v>
      </c>
      <c r="F18" s="6">
        <v>12894000000</v>
      </c>
      <c r="G18" s="6">
        <v>77567000000</v>
      </c>
    </row>
    <row r="19" spans="1:7">
      <c r="A19" s="6">
        <v>2012</v>
      </c>
      <c r="B19" s="46">
        <v>3.5</v>
      </c>
      <c r="C19" s="47">
        <v>350644000000</v>
      </c>
      <c r="D19" s="6">
        <v>79658000000</v>
      </c>
      <c r="E19" s="6">
        <v>160996000000</v>
      </c>
      <c r="F19" s="6">
        <v>20373000000</v>
      </c>
      <c r="G19" s="6">
        <v>79185000000</v>
      </c>
    </row>
    <row r="20" spans="1:7">
      <c r="A20" s="6">
        <v>2013</v>
      </c>
      <c r="B20" s="46">
        <v>3.4</v>
      </c>
      <c r="C20" s="47">
        <v>377411000000</v>
      </c>
      <c r="D20" s="6">
        <v>88048000000</v>
      </c>
      <c r="E20" s="6">
        <v>165594000000</v>
      </c>
      <c r="F20" s="6">
        <v>13766000000</v>
      </c>
      <c r="G20" s="6">
        <v>77618000000</v>
      </c>
    </row>
    <row r="21" spans="1:7">
      <c r="A21" s="6">
        <v>2014</v>
      </c>
      <c r="B21" s="46">
        <v>3.8</v>
      </c>
      <c r="C21" s="47">
        <v>400351000000</v>
      </c>
      <c r="D21" s="6">
        <v>94776000000</v>
      </c>
      <c r="E21" s="6">
        <v>172038000000</v>
      </c>
      <c r="F21" s="6">
        <v>18497000000</v>
      </c>
      <c r="G21" s="6">
        <v>73990000000</v>
      </c>
    </row>
    <row r="22" spans="1:7">
      <c r="A22" s="6">
        <v>2015</v>
      </c>
      <c r="B22" s="46">
        <v>3.7</v>
      </c>
      <c r="C22" s="47">
        <v>420936000000</v>
      </c>
      <c r="D22" s="6">
        <v>93290000000</v>
      </c>
      <c r="E22" s="6">
        <v>168023000000</v>
      </c>
      <c r="F22" s="6">
        <v>13726000000</v>
      </c>
      <c r="G22" s="6">
        <v>71133000000</v>
      </c>
    </row>
    <row r="23" spans="1:7">
      <c r="A23" s="6">
        <v>2016</v>
      </c>
      <c r="B23" s="46">
        <v>3.9</v>
      </c>
      <c r="C23" s="47">
        <v>447620000000</v>
      </c>
      <c r="D23" s="6">
        <v>84456000000</v>
      </c>
      <c r="E23" s="6">
        <v>165423000000</v>
      </c>
      <c r="F23" s="6">
        <v>18161000000</v>
      </c>
      <c r="G23" s="6">
        <v>74980000000</v>
      </c>
    </row>
    <row r="24" spans="1:7">
      <c r="A24" s="6">
        <v>2017</v>
      </c>
      <c r="B24" s="46">
        <v>3.9</v>
      </c>
      <c r="C24" s="47">
        <v>472861000000</v>
      </c>
      <c r="D24" s="6">
        <v>80680000000</v>
      </c>
      <c r="E24" s="6">
        <v>180867000000</v>
      </c>
      <c r="F24" s="6">
        <v>21242000000</v>
      </c>
      <c r="G24" s="6">
        <v>79491000000</v>
      </c>
    </row>
    <row r="25" spans="1:7">
      <c r="A25" s="6">
        <v>2018</v>
      </c>
      <c r="B25" s="46">
        <v>4</v>
      </c>
      <c r="C25" s="47">
        <v>500047000000</v>
      </c>
      <c r="D25" s="6">
        <v>80339000000</v>
      </c>
      <c r="E25" s="6">
        <v>192438000000</v>
      </c>
      <c r="F25" s="6">
        <v>17370000000</v>
      </c>
      <c r="G25" s="6">
        <v>90242000000</v>
      </c>
    </row>
    <row r="26" spans="1:7">
      <c r="A26" s="6">
        <v>2019</v>
      </c>
      <c r="B26" s="46">
        <v>2.9</v>
      </c>
      <c r="C26" s="47">
        <v>512108000000</v>
      </c>
      <c r="D26" s="6">
        <v>78799000000</v>
      </c>
      <c r="E26" s="6">
        <v>198639000000</v>
      </c>
      <c r="F26" s="6">
        <v>22289000000</v>
      </c>
      <c r="G26" s="6">
        <v>97745000000</v>
      </c>
    </row>
    <row r="27" spans="1:7">
      <c r="A27" s="6">
        <v>2020</v>
      </c>
      <c r="B27" s="46">
        <v>-14.5</v>
      </c>
      <c r="C27" s="47">
        <v>448874000000</v>
      </c>
      <c r="D27" s="6">
        <v>70223000000</v>
      </c>
      <c r="E27" s="6">
        <v>165722000000</v>
      </c>
      <c r="F27" s="6">
        <v>16944000000</v>
      </c>
      <c r="G27" s="6">
        <v>76916000000</v>
      </c>
    </row>
    <row r="28" spans="1:7">
      <c r="A28" s="6">
        <v>2021</v>
      </c>
      <c r="B28" s="46">
        <v>3.4</v>
      </c>
      <c r="C28" s="47">
        <v>478807000000</v>
      </c>
      <c r="D28" s="6">
        <v>81992000000</v>
      </c>
      <c r="E28" s="6">
        <v>214836000000</v>
      </c>
      <c r="F28" s="6">
        <v>18469000000</v>
      </c>
      <c r="G28" s="6">
        <v>93820000000</v>
      </c>
    </row>
    <row r="29" spans="1:7">
      <c r="A29" s="19"/>
      <c r="B29" s="19"/>
      <c r="C29" s="19"/>
      <c r="D29" s="19"/>
      <c r="E29" s="19"/>
      <c r="F29" s="19"/>
      <c r="G29" s="19"/>
    </row>
    <row r="30" spans="1:7">
      <c r="A30" s="19"/>
      <c r="B30" s="19"/>
      <c r="C30" s="19"/>
      <c r="D30" s="19"/>
      <c r="E30" s="19"/>
      <c r="F30" s="19"/>
      <c r="G30" s="19"/>
    </row>
    <row r="31" spans="1:7">
      <c r="A31" s="19"/>
      <c r="B31" s="19"/>
      <c r="C31" s="19"/>
      <c r="D31" s="19"/>
      <c r="E31" s="19"/>
      <c r="F31" s="19"/>
      <c r="G31" s="19"/>
    </row>
    <row r="32" spans="1:7">
      <c r="A32" s="19"/>
      <c r="B32" s="19"/>
      <c r="C32" s="19"/>
      <c r="D32" s="19"/>
      <c r="E32" s="19"/>
      <c r="F32" s="19"/>
      <c r="G32" s="19"/>
    </row>
    <row r="33" spans="1:7">
      <c r="A33" s="19"/>
      <c r="B33" s="19"/>
      <c r="C33" s="19"/>
      <c r="D33" s="19"/>
      <c r="E33" s="19"/>
      <c r="F33" s="19"/>
      <c r="G33" s="19"/>
    </row>
    <row r="34" spans="1:7">
      <c r="A34" s="19"/>
      <c r="B34" s="19"/>
      <c r="C34" s="19"/>
      <c r="D34" s="19"/>
      <c r="E34" s="19"/>
      <c r="F34" s="19"/>
      <c r="G34" s="19"/>
    </row>
    <row r="35" spans="1:7">
      <c r="A35" s="19"/>
      <c r="B35" s="19"/>
      <c r="C35" s="19"/>
      <c r="D35" s="19"/>
      <c r="E35" s="19"/>
      <c r="F35" s="19"/>
      <c r="G35" s="19"/>
    </row>
    <row r="36" spans="1:7">
      <c r="A36" s="19"/>
      <c r="B36" s="19"/>
      <c r="C36" s="19"/>
      <c r="D36" s="19"/>
      <c r="E36" s="19"/>
      <c r="F36" s="19"/>
      <c r="G36" s="19"/>
    </row>
    <row r="37" spans="1:7">
      <c r="A37" s="19"/>
      <c r="B37" s="19"/>
      <c r="C37" s="19"/>
      <c r="D37" s="19"/>
      <c r="E37" s="19"/>
      <c r="F37" s="19"/>
      <c r="G37" s="19"/>
    </row>
    <row r="38" spans="1:7">
      <c r="A38" s="19"/>
      <c r="B38" s="19"/>
      <c r="C38" s="19"/>
      <c r="D38" s="19"/>
      <c r="E38" s="19"/>
      <c r="F38" s="19"/>
      <c r="G38" s="19"/>
    </row>
    <row r="39" spans="1:7">
      <c r="A39" s="19"/>
      <c r="B39" s="19"/>
      <c r="C39" s="19"/>
      <c r="D39" s="19"/>
      <c r="E39" s="19"/>
      <c r="F39" s="19"/>
      <c r="G39" s="19"/>
    </row>
    <row r="40" spans="1:7">
      <c r="A40" s="19"/>
      <c r="B40" s="19"/>
      <c r="C40" s="19"/>
      <c r="D40" s="19"/>
      <c r="E40" s="19"/>
      <c r="F40" s="19"/>
      <c r="G40" s="19"/>
    </row>
    <row r="41" spans="1:7">
      <c r="A41" s="19"/>
      <c r="B41" s="19"/>
      <c r="C41" s="19"/>
      <c r="D41" s="19"/>
      <c r="E41" s="19"/>
      <c r="F41" s="19"/>
      <c r="G41" s="19"/>
    </row>
    <row r="42" spans="1:7">
      <c r="A42" s="19"/>
      <c r="B42" s="19"/>
      <c r="C42" s="19"/>
      <c r="D42" s="19"/>
      <c r="E42" s="19"/>
      <c r="F42" s="19"/>
      <c r="G42" s="19"/>
    </row>
    <row r="43" spans="1:7">
      <c r="A43" s="19"/>
      <c r="B43" s="19"/>
      <c r="C43" s="19"/>
      <c r="D43" s="19"/>
      <c r="E43" s="19"/>
      <c r="F43" s="19"/>
      <c r="G43" s="19"/>
    </row>
    <row r="44" spans="1:7">
      <c r="A44" s="19"/>
      <c r="B44" s="19"/>
      <c r="C44" s="19"/>
      <c r="D44" s="19"/>
      <c r="E44" s="19"/>
      <c r="F44" s="19"/>
      <c r="G44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FB29-5C02-4908-B85F-F78220B1416F}">
  <dimension ref="A1:E48"/>
  <sheetViews>
    <sheetView workbookViewId="0">
      <selection activeCell="B11" sqref="B2:B11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2.83203125" bestFit="1" customWidth="1"/>
  </cols>
  <sheetData>
    <row r="1" spans="1:5" ht="32">
      <c r="A1" s="3" t="s">
        <v>0</v>
      </c>
      <c r="B1" s="4" t="s">
        <v>68</v>
      </c>
      <c r="C1" s="3" t="s">
        <v>69</v>
      </c>
      <c r="D1" s="4" t="s">
        <v>6</v>
      </c>
      <c r="E1" s="3" t="s">
        <v>56</v>
      </c>
    </row>
    <row r="2" spans="1:5">
      <c r="A2" s="6">
        <v>1995</v>
      </c>
      <c r="B2" s="46">
        <v>4.3</v>
      </c>
      <c r="C2" s="47">
        <v>70246000000</v>
      </c>
      <c r="D2" s="50">
        <v>6</v>
      </c>
      <c r="E2" s="6">
        <v>5.4</v>
      </c>
    </row>
    <row r="3" spans="1:5">
      <c r="A3" s="6">
        <v>1996</v>
      </c>
      <c r="B3" s="46">
        <v>4.3</v>
      </c>
      <c r="C3" s="47">
        <v>79365000000</v>
      </c>
      <c r="D3" s="50">
        <v>6.6</v>
      </c>
      <c r="E3" s="6">
        <v>7</v>
      </c>
    </row>
    <row r="4" spans="1:5">
      <c r="A4" s="6">
        <v>1997</v>
      </c>
      <c r="B4" s="46">
        <v>4.3</v>
      </c>
      <c r="C4" s="47">
        <v>88175000000</v>
      </c>
      <c r="D4" s="50">
        <v>6.6</v>
      </c>
      <c r="E4" s="6">
        <v>5.0999999999999996</v>
      </c>
    </row>
    <row r="5" spans="1:5">
      <c r="A5" s="6">
        <v>1998</v>
      </c>
      <c r="B5" s="46">
        <v>4.3</v>
      </c>
      <c r="C5" s="47">
        <v>100042000000</v>
      </c>
      <c r="D5" s="50">
        <v>6.8</v>
      </c>
      <c r="E5" s="6">
        <v>7</v>
      </c>
    </row>
    <row r="6" spans="1:5">
      <c r="A6" s="6">
        <v>1999</v>
      </c>
      <c r="B6" s="46">
        <v>4.3</v>
      </c>
      <c r="C6" s="47">
        <v>109400000000</v>
      </c>
      <c r="D6" s="50">
        <v>6.9</v>
      </c>
      <c r="E6" s="6">
        <v>5.3</v>
      </c>
    </row>
    <row r="7" spans="1:5">
      <c r="A7" s="6">
        <v>2000</v>
      </c>
      <c r="B7" s="46">
        <v>4.3</v>
      </c>
      <c r="C7" s="47">
        <v>122410000000</v>
      </c>
      <c r="D7" s="50">
        <v>4.2</v>
      </c>
      <c r="E7" s="6">
        <v>3.4</v>
      </c>
    </row>
    <row r="8" spans="1:5">
      <c r="A8" s="6">
        <v>2001</v>
      </c>
      <c r="B8" s="46">
        <v>4.3</v>
      </c>
      <c r="C8" s="47">
        <v>134392000000</v>
      </c>
      <c r="D8" s="50">
        <v>5.4</v>
      </c>
      <c r="E8" s="6">
        <v>6.4</v>
      </c>
    </row>
    <row r="9" spans="1:5">
      <c r="A9" s="6">
        <v>2002</v>
      </c>
      <c r="B9" s="46">
        <v>4.3</v>
      </c>
      <c r="C9" s="47">
        <v>145055000000</v>
      </c>
      <c r="D9" s="50">
        <v>6.4</v>
      </c>
      <c r="E9" s="6">
        <v>6.2</v>
      </c>
    </row>
    <row r="10" spans="1:5">
      <c r="A10" s="6">
        <v>2003</v>
      </c>
      <c r="B10" s="46">
        <v>4.3</v>
      </c>
      <c r="C10" s="47">
        <v>162291000000</v>
      </c>
      <c r="D10" s="50">
        <v>3.9</v>
      </c>
      <c r="E10" s="6">
        <v>5.6</v>
      </c>
    </row>
    <row r="11" spans="1:5">
      <c r="A11" s="6">
        <v>2004</v>
      </c>
      <c r="B11" s="46">
        <v>4.3</v>
      </c>
      <c r="C11" s="47">
        <v>180908000000</v>
      </c>
      <c r="D11" s="50">
        <v>4.7</v>
      </c>
      <c r="E11" s="6">
        <v>6.9</v>
      </c>
    </row>
    <row r="12" spans="1:5">
      <c r="A12" s="6">
        <v>2005</v>
      </c>
      <c r="B12" s="46">
        <v>2.7</v>
      </c>
      <c r="C12" s="47">
        <v>191393000000</v>
      </c>
      <c r="D12" s="50">
        <v>4.9000000000000004</v>
      </c>
      <c r="E12" s="6">
        <v>4.3</v>
      </c>
    </row>
    <row r="13" spans="1:5">
      <c r="A13" s="6">
        <v>2006</v>
      </c>
      <c r="B13" s="46">
        <v>5.6</v>
      </c>
      <c r="C13" s="47">
        <v>222870000000</v>
      </c>
      <c r="D13" s="50">
        <v>8.9</v>
      </c>
      <c r="E13" s="6">
        <v>6.7</v>
      </c>
    </row>
    <row r="14" spans="1:5">
      <c r="A14" s="6">
        <v>2007</v>
      </c>
      <c r="B14" s="46">
        <v>5.7</v>
      </c>
      <c r="C14" s="47">
        <v>255211000000</v>
      </c>
      <c r="D14" s="50">
        <v>8.8000000000000007</v>
      </c>
      <c r="E14" s="6">
        <v>8.3000000000000007</v>
      </c>
    </row>
    <row r="15" spans="1:5">
      <c r="A15" s="6">
        <v>2008</v>
      </c>
      <c r="B15" s="46">
        <v>5.4</v>
      </c>
      <c r="C15" s="47">
        <v>284254000000</v>
      </c>
      <c r="D15" s="50">
        <v>9.6999999999999993</v>
      </c>
      <c r="E15" s="6">
        <v>5.7</v>
      </c>
    </row>
    <row r="16" spans="1:5">
      <c r="A16" s="6">
        <v>2009</v>
      </c>
      <c r="B16" s="46">
        <v>3.3</v>
      </c>
      <c r="C16" s="47">
        <v>291756000000</v>
      </c>
      <c r="D16" s="50">
        <v>2.5</v>
      </c>
      <c r="E16" s="6">
        <v>-0.7</v>
      </c>
    </row>
    <row r="17" spans="1:5">
      <c r="A17" s="6">
        <v>2010</v>
      </c>
      <c r="B17" s="46">
        <v>4.4000000000000004</v>
      </c>
      <c r="C17" s="47">
        <v>307957000000</v>
      </c>
      <c r="D17" s="50">
        <v>2.9</v>
      </c>
      <c r="E17" s="6">
        <v>1.1000000000000001</v>
      </c>
    </row>
    <row r="18" spans="1:5">
      <c r="A18" s="6">
        <v>2011</v>
      </c>
      <c r="B18" s="46">
        <v>4.0999999999999996</v>
      </c>
      <c r="C18" s="47">
        <v>330647000000</v>
      </c>
      <c r="D18" s="50">
        <v>6.5</v>
      </c>
      <c r="E18" s="6">
        <v>3.2</v>
      </c>
    </row>
    <row r="19" spans="1:5">
      <c r="A19" s="6">
        <v>2012</v>
      </c>
      <c r="B19" s="46">
        <v>3.5</v>
      </c>
      <c r="C19" s="47">
        <v>350644000000</v>
      </c>
      <c r="D19" s="50">
        <v>3.9</v>
      </c>
      <c r="E19" s="6">
        <v>2.5</v>
      </c>
    </row>
    <row r="20" spans="1:5">
      <c r="A20" s="6">
        <v>2013</v>
      </c>
      <c r="B20" s="46">
        <v>3.4</v>
      </c>
      <c r="C20" s="47">
        <v>377411000000</v>
      </c>
      <c r="D20" s="50">
        <v>3.5</v>
      </c>
      <c r="E20" s="6">
        <v>4.0999999999999996</v>
      </c>
    </row>
    <row r="21" spans="1:5">
      <c r="A21" s="6">
        <v>2014</v>
      </c>
      <c r="B21" s="46">
        <v>3.8</v>
      </c>
      <c r="C21" s="47">
        <v>400351000000</v>
      </c>
      <c r="D21" s="50">
        <v>3.2</v>
      </c>
      <c r="E21" s="6">
        <v>2.2000000000000002</v>
      </c>
    </row>
    <row r="22" spans="1:5">
      <c r="A22" s="6">
        <v>2015</v>
      </c>
      <c r="B22" s="46">
        <v>3.7</v>
      </c>
      <c r="C22" s="47">
        <v>420936000000</v>
      </c>
      <c r="D22" s="50">
        <v>1.3</v>
      </c>
      <c r="E22" s="6">
        <v>1.4</v>
      </c>
    </row>
    <row r="23" spans="1:5">
      <c r="A23" s="6">
        <v>2016</v>
      </c>
      <c r="B23" s="46">
        <v>3.9</v>
      </c>
      <c r="C23" s="47">
        <v>447620000000</v>
      </c>
      <c r="D23" s="50">
        <v>1</v>
      </c>
      <c r="E23" s="6">
        <v>2.4</v>
      </c>
    </row>
    <row r="24" spans="1:5">
      <c r="A24" s="6">
        <v>2017</v>
      </c>
      <c r="B24" s="46">
        <v>3.9</v>
      </c>
      <c r="C24" s="47">
        <v>472861000000</v>
      </c>
      <c r="D24" s="50">
        <v>3.7</v>
      </c>
      <c r="E24" s="6">
        <v>1.6</v>
      </c>
    </row>
    <row r="25" spans="1:5">
      <c r="A25" s="6">
        <v>2018</v>
      </c>
      <c r="B25" s="46">
        <v>4</v>
      </c>
      <c r="C25" s="47">
        <v>500047000000</v>
      </c>
      <c r="D25" s="50">
        <v>3.2</v>
      </c>
      <c r="E25" s="6">
        <v>1.7</v>
      </c>
    </row>
    <row r="26" spans="1:5">
      <c r="A26" s="6">
        <v>2019</v>
      </c>
      <c r="B26" s="46">
        <v>2.9</v>
      </c>
      <c r="C26" s="47">
        <v>512108000000</v>
      </c>
      <c r="D26" s="50">
        <v>0.5</v>
      </c>
      <c r="E26" s="6">
        <v>-0.5</v>
      </c>
    </row>
    <row r="27" spans="1:5">
      <c r="A27" s="6">
        <v>2020</v>
      </c>
      <c r="B27" s="46">
        <v>-14.5</v>
      </c>
      <c r="C27" s="47">
        <v>448874000000</v>
      </c>
      <c r="D27" s="50">
        <v>2.5</v>
      </c>
      <c r="E27" s="6">
        <v>2.6</v>
      </c>
    </row>
    <row r="28" spans="1:5">
      <c r="A28" s="6">
        <v>2021</v>
      </c>
      <c r="B28" s="46">
        <v>3.4</v>
      </c>
      <c r="C28" s="47">
        <v>478807000000</v>
      </c>
      <c r="D28" s="50">
        <v>4</v>
      </c>
      <c r="E28" s="6">
        <v>3.2</v>
      </c>
    </row>
    <row r="29" spans="1:5">
      <c r="B29" s="10"/>
      <c r="C29" s="7"/>
      <c r="D29" s="12"/>
      <c r="E29" s="9"/>
    </row>
    <row r="30" spans="1:5">
      <c r="B30" s="10"/>
      <c r="C30" s="7"/>
      <c r="D30" s="12"/>
      <c r="E30" s="9"/>
    </row>
    <row r="31" spans="1:5">
      <c r="B31" s="10"/>
      <c r="C31" s="7"/>
      <c r="D31" s="12"/>
      <c r="E31" s="9"/>
    </row>
    <row r="32" spans="1:5">
      <c r="A32" s="19"/>
      <c r="B32" s="15"/>
      <c r="C32" s="15"/>
      <c r="D32" s="15"/>
      <c r="E32" s="15"/>
    </row>
    <row r="33" spans="1:5">
      <c r="A33" s="19"/>
      <c r="B33" s="19"/>
      <c r="C33" s="19"/>
      <c r="D33" s="19"/>
      <c r="E33" s="19"/>
    </row>
    <row r="34" spans="1:5">
      <c r="A34" s="19"/>
      <c r="B34" s="19"/>
      <c r="C34" s="19"/>
      <c r="D34" s="19"/>
      <c r="E34" s="19"/>
    </row>
    <row r="35" spans="1:5">
      <c r="A35" s="19"/>
      <c r="B35" s="19"/>
      <c r="C35" s="19"/>
      <c r="D35" s="19"/>
      <c r="E35" s="19"/>
    </row>
    <row r="36" spans="1:5">
      <c r="A36" s="19"/>
      <c r="B36" s="19"/>
      <c r="C36" s="19"/>
      <c r="D36" s="19"/>
      <c r="E36" s="19"/>
    </row>
    <row r="37" spans="1:5">
      <c r="A37" s="19"/>
      <c r="B37" s="19"/>
      <c r="C37" s="19"/>
      <c r="D37" s="19"/>
      <c r="E37" s="19"/>
    </row>
    <row r="38" spans="1:5">
      <c r="A38" s="19"/>
      <c r="B38" s="19"/>
      <c r="C38" s="19"/>
      <c r="D38" s="19"/>
      <c r="E38" s="19"/>
    </row>
    <row r="39" spans="1:5">
      <c r="A39" s="19"/>
      <c r="B39" s="19"/>
      <c r="C39" s="19"/>
      <c r="D39" s="19"/>
      <c r="E39" s="19"/>
    </row>
    <row r="40" spans="1:5">
      <c r="A40" s="19"/>
      <c r="B40" s="19"/>
      <c r="C40" s="19"/>
      <c r="D40" s="19"/>
      <c r="E40" s="19"/>
    </row>
    <row r="41" spans="1:5">
      <c r="A41" s="19"/>
      <c r="B41" s="19"/>
      <c r="C41" s="19"/>
      <c r="D41" s="19"/>
      <c r="E41" s="19"/>
    </row>
    <row r="42" spans="1:5">
      <c r="A42" s="19"/>
      <c r="B42" s="19"/>
      <c r="C42" s="19"/>
      <c r="D42" s="19"/>
      <c r="E42" s="19"/>
    </row>
    <row r="43" spans="1:5">
      <c r="A43" s="19"/>
      <c r="B43" s="19"/>
      <c r="C43" s="19"/>
      <c r="D43" s="19"/>
      <c r="E43" s="19"/>
    </row>
    <row r="44" spans="1:5">
      <c r="A44" s="19"/>
      <c r="B44" s="19"/>
      <c r="C44" s="19"/>
      <c r="D44" s="19"/>
      <c r="E44" s="19"/>
    </row>
    <row r="45" spans="1:5">
      <c r="A45" s="19"/>
      <c r="B45" s="19"/>
      <c r="C45" s="19"/>
      <c r="D45" s="19"/>
      <c r="E45" s="19"/>
    </row>
    <row r="46" spans="1:5">
      <c r="A46" s="19"/>
      <c r="B46" s="19"/>
      <c r="C46" s="19"/>
      <c r="D46" s="19"/>
      <c r="E46" s="19"/>
    </row>
    <row r="47" spans="1:5">
      <c r="A47" s="19"/>
      <c r="B47" s="19"/>
      <c r="C47" s="19"/>
      <c r="D47" s="19"/>
      <c r="E47" s="19"/>
    </row>
    <row r="48" spans="1:5">
      <c r="A48" s="19"/>
      <c r="B48" s="19"/>
      <c r="C48" s="19"/>
      <c r="D48" s="19"/>
      <c r="E48" s="1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2040-60EF-408F-BC19-0BA98703DB6C}">
  <dimension ref="A1:H49"/>
  <sheetViews>
    <sheetView workbookViewId="0">
      <selection activeCell="H39" sqref="H39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5.5" customWidth="1"/>
    <col min="6" max="6" width="20.33203125" customWidth="1"/>
    <col min="7" max="7" width="19.5" customWidth="1"/>
    <col min="8" max="8" width="25.33203125" customWidth="1"/>
  </cols>
  <sheetData>
    <row r="1" spans="1:8" ht="32">
      <c r="A1" s="3" t="s">
        <v>0</v>
      </c>
      <c r="B1" s="4" t="s">
        <v>68</v>
      </c>
      <c r="C1" s="3" t="s">
        <v>69</v>
      </c>
      <c r="D1" s="4" t="s">
        <v>19</v>
      </c>
      <c r="E1" s="4" t="s">
        <v>54</v>
      </c>
      <c r="F1" s="4" t="s">
        <v>55</v>
      </c>
      <c r="G1" s="4" t="s">
        <v>50</v>
      </c>
      <c r="H1" s="4" t="s">
        <v>7</v>
      </c>
    </row>
    <row r="2" spans="1:8">
      <c r="A2" s="6">
        <v>1995</v>
      </c>
      <c r="B2" s="46">
        <v>4.3</v>
      </c>
      <c r="C2" s="47">
        <v>70246000000</v>
      </c>
      <c r="D2" s="6">
        <v>15568000000</v>
      </c>
      <c r="E2" s="51">
        <v>14962600000</v>
      </c>
      <c r="F2" s="6">
        <v>-786199999.99999893</v>
      </c>
      <c r="G2" s="6">
        <f t="shared" ref="G2:G11" si="0">G3-((G$28-G$13)/($A$28-$A$13))</f>
        <v>39947133333.333305</v>
      </c>
      <c r="H2" s="6">
        <v>-2426300000</v>
      </c>
    </row>
    <row r="3" spans="1:8">
      <c r="A3" s="6">
        <v>1996</v>
      </c>
      <c r="B3" s="46">
        <v>4.3</v>
      </c>
      <c r="C3" s="47">
        <v>79365000000</v>
      </c>
      <c r="D3" s="6">
        <v>15568000000</v>
      </c>
      <c r="E3" s="51">
        <v>15048700000</v>
      </c>
      <c r="F3" s="6">
        <v>-2501799999.999999</v>
      </c>
      <c r="G3" s="6">
        <f t="shared" si="0"/>
        <v>40190666666.666641</v>
      </c>
      <c r="H3" s="6">
        <v>-4904600000</v>
      </c>
    </row>
    <row r="4" spans="1:8">
      <c r="A4" s="6">
        <v>1997</v>
      </c>
      <c r="B4" s="46">
        <v>4.3</v>
      </c>
      <c r="C4" s="47">
        <v>88175000000</v>
      </c>
      <c r="D4" s="6">
        <v>15568000000</v>
      </c>
      <c r="E4" s="51">
        <v>18745700000</v>
      </c>
      <c r="F4" s="6">
        <v>-1818099999.9999986</v>
      </c>
      <c r="G4" s="6">
        <f t="shared" si="0"/>
        <v>40434199999.999977</v>
      </c>
      <c r="H4" s="6">
        <v>-5411800000</v>
      </c>
    </row>
    <row r="5" spans="1:8">
      <c r="A5" s="6">
        <v>1998</v>
      </c>
      <c r="B5" s="46">
        <v>4.3</v>
      </c>
      <c r="C5" s="47">
        <v>100042000000</v>
      </c>
      <c r="D5" s="6">
        <v>15568000000</v>
      </c>
      <c r="E5" s="51">
        <v>20992400000</v>
      </c>
      <c r="F5" s="6">
        <v>-843500000</v>
      </c>
      <c r="G5" s="6">
        <f t="shared" si="0"/>
        <v>40677733333.333313</v>
      </c>
      <c r="H5" s="6">
        <v>-1623100000</v>
      </c>
    </row>
    <row r="6" spans="1:8">
      <c r="A6" s="6">
        <v>1999</v>
      </c>
      <c r="B6" s="46">
        <v>4.3</v>
      </c>
      <c r="C6" s="47">
        <v>109400000000</v>
      </c>
      <c r="D6" s="6">
        <v>15568000000</v>
      </c>
      <c r="E6" s="51">
        <v>23694700000</v>
      </c>
      <c r="F6" s="6">
        <v>-2181599999.9999986</v>
      </c>
      <c r="G6" s="6">
        <f t="shared" si="0"/>
        <v>40921266666.666649</v>
      </c>
      <c r="H6" s="6">
        <v>-3760500000</v>
      </c>
    </row>
    <row r="7" spans="1:8">
      <c r="A7" s="6">
        <v>2000</v>
      </c>
      <c r="B7" s="46">
        <v>4.3</v>
      </c>
      <c r="C7" s="47">
        <v>122410000000</v>
      </c>
      <c r="D7" s="6">
        <v>17446000000</v>
      </c>
      <c r="E7" s="51">
        <v>26303700000</v>
      </c>
      <c r="F7" s="6">
        <v>-1166599999.9999986</v>
      </c>
      <c r="G7" s="6">
        <f t="shared" si="0"/>
        <v>41164799999.999985</v>
      </c>
      <c r="H7" s="6">
        <v>-3786200000</v>
      </c>
    </row>
    <row r="8" spans="1:8">
      <c r="A8" s="6">
        <v>2001</v>
      </c>
      <c r="B8" s="46">
        <v>4.3</v>
      </c>
      <c r="C8" s="47">
        <v>134392000000</v>
      </c>
      <c r="D8" s="6">
        <v>18715000000</v>
      </c>
      <c r="E8" s="51">
        <v>26145700000</v>
      </c>
      <c r="F8" s="6">
        <v>-4928399999.9999981</v>
      </c>
      <c r="G8" s="6">
        <f t="shared" si="0"/>
        <v>41408333333.333321</v>
      </c>
      <c r="H8" s="6">
        <v>-2586100000</v>
      </c>
    </row>
    <row r="9" spans="1:8">
      <c r="A9" s="6">
        <v>2002</v>
      </c>
      <c r="B9" s="46">
        <v>4.3</v>
      </c>
      <c r="C9" s="47">
        <v>145055000000</v>
      </c>
      <c r="D9" s="6">
        <v>20540000000</v>
      </c>
      <c r="E9" s="51">
        <v>28319500000</v>
      </c>
      <c r="F9" s="6">
        <v>-5066300000.0000029</v>
      </c>
      <c r="G9" s="6">
        <f t="shared" si="0"/>
        <v>41651866666.666656</v>
      </c>
      <c r="H9" s="6">
        <v>-8352100000</v>
      </c>
    </row>
    <row r="10" spans="1:8">
      <c r="A10" s="6">
        <v>2003</v>
      </c>
      <c r="B10" s="46">
        <v>4.3</v>
      </c>
      <c r="C10" s="47">
        <v>162291000000</v>
      </c>
      <c r="D10" s="6">
        <v>22850000000</v>
      </c>
      <c r="E10" s="51">
        <v>33435600000</v>
      </c>
      <c r="F10" s="6">
        <v>-5062200000.0000048</v>
      </c>
      <c r="G10" s="6">
        <f t="shared" si="0"/>
        <v>41895399999.999992</v>
      </c>
      <c r="H10" s="6">
        <v>-9512299999.9999905</v>
      </c>
    </row>
    <row r="11" spans="1:8">
      <c r="A11" s="6">
        <v>2004</v>
      </c>
      <c r="B11" s="46">
        <v>4.3</v>
      </c>
      <c r="C11" s="47">
        <v>180908000000</v>
      </c>
      <c r="D11" s="6">
        <v>25693000000</v>
      </c>
      <c r="E11" s="51">
        <v>37336400000</v>
      </c>
      <c r="F11" s="6">
        <v>-5234400000.0000019</v>
      </c>
      <c r="G11" s="6">
        <f t="shared" si="0"/>
        <v>42138933333.333328</v>
      </c>
      <c r="H11" s="6">
        <v>-8788299999.9999905</v>
      </c>
    </row>
    <row r="12" spans="1:8">
      <c r="A12" s="6">
        <v>2005</v>
      </c>
      <c r="B12" s="46">
        <v>2.7</v>
      </c>
      <c r="C12" s="47">
        <v>191393000000</v>
      </c>
      <c r="D12" s="6">
        <v>27795000000</v>
      </c>
      <c r="E12" s="51">
        <v>39976500000</v>
      </c>
      <c r="F12" s="6">
        <v>-3829000000</v>
      </c>
      <c r="G12" s="6">
        <f>G13-((G$28-G$13)/($A$28-$A$13))</f>
        <v>42382466666.666664</v>
      </c>
      <c r="H12" s="6">
        <v>-9004900000</v>
      </c>
    </row>
    <row r="13" spans="1:8">
      <c r="A13" s="6">
        <v>2006</v>
      </c>
      <c r="B13" s="46">
        <v>5.6</v>
      </c>
      <c r="C13" s="47">
        <v>222870000000</v>
      </c>
      <c r="D13" s="6">
        <v>31478000000</v>
      </c>
      <c r="E13" s="51">
        <v>43108400000</v>
      </c>
      <c r="F13" s="6">
        <v>-5757199999.9999971</v>
      </c>
      <c r="G13" s="6">
        <v>42626000000</v>
      </c>
      <c r="H13" s="6">
        <v>-10344500000</v>
      </c>
    </row>
    <row r="14" spans="1:8">
      <c r="A14" s="6">
        <v>2007</v>
      </c>
      <c r="B14" s="46">
        <v>5.7</v>
      </c>
      <c r="C14" s="47">
        <v>255211000000</v>
      </c>
      <c r="D14" s="6">
        <v>31737000000</v>
      </c>
      <c r="E14" s="51">
        <v>46464200000</v>
      </c>
      <c r="F14" s="6">
        <v>-4635700000.0000048</v>
      </c>
      <c r="G14" s="6">
        <v>53952000000</v>
      </c>
      <c r="H14" s="6">
        <v>-9439200000</v>
      </c>
    </row>
    <row r="15" spans="1:8">
      <c r="A15" s="6">
        <v>2008</v>
      </c>
      <c r="B15" s="46">
        <v>5.4</v>
      </c>
      <c r="C15" s="47">
        <v>284254000000</v>
      </c>
      <c r="D15" s="6">
        <v>35431000000</v>
      </c>
      <c r="E15" s="51">
        <v>58490000000</v>
      </c>
      <c r="F15" s="6">
        <v>2161699999.9999971</v>
      </c>
      <c r="G15" s="6">
        <v>43423000000</v>
      </c>
      <c r="H15" s="6">
        <v>-8321100000</v>
      </c>
    </row>
    <row r="16" spans="1:8">
      <c r="A16" s="6">
        <v>2009</v>
      </c>
      <c r="B16" s="46">
        <v>3.3</v>
      </c>
      <c r="C16" s="47">
        <v>291756000000</v>
      </c>
      <c r="D16" s="6">
        <v>40619000000</v>
      </c>
      <c r="E16" s="51">
        <v>69947000000</v>
      </c>
      <c r="F16" s="51">
        <v>8516500000</v>
      </c>
      <c r="G16" s="6">
        <v>37430000000</v>
      </c>
      <c r="H16" s="6">
        <v>-8432000000</v>
      </c>
    </row>
    <row r="17" spans="1:8">
      <c r="A17" s="6">
        <v>2010</v>
      </c>
      <c r="B17" s="46">
        <v>4.4000000000000004</v>
      </c>
      <c r="C17" s="47">
        <v>307957000000</v>
      </c>
      <c r="D17" s="6">
        <v>42555000000</v>
      </c>
      <c r="E17" s="51">
        <v>71079100000</v>
      </c>
      <c r="F17" s="51">
        <v>3412500000</v>
      </c>
      <c r="G17" s="6">
        <v>40005000000</v>
      </c>
      <c r="H17" s="6">
        <v>-5101200000</v>
      </c>
    </row>
    <row r="18" spans="1:8">
      <c r="A18" s="6">
        <v>2011</v>
      </c>
      <c r="B18" s="46">
        <v>4.0999999999999996</v>
      </c>
      <c r="C18" s="47">
        <v>330647000000</v>
      </c>
      <c r="D18" s="6">
        <v>44517000000</v>
      </c>
      <c r="E18" s="51">
        <v>75845000000</v>
      </c>
      <c r="F18" s="51">
        <v>8208500000</v>
      </c>
      <c r="G18" s="6">
        <v>43483000000</v>
      </c>
      <c r="H18" s="6">
        <v>-12007700000</v>
      </c>
    </row>
    <row r="19" spans="1:8">
      <c r="A19" s="6">
        <v>2012</v>
      </c>
      <c r="B19" s="46">
        <v>3.5</v>
      </c>
      <c r="C19" s="47">
        <v>350644000000</v>
      </c>
      <c r="D19" s="6">
        <v>46838000000</v>
      </c>
      <c r="E19" s="51">
        <v>82411400000</v>
      </c>
      <c r="F19" s="51">
        <v>11201600000</v>
      </c>
      <c r="G19" s="6">
        <v>43457000000</v>
      </c>
      <c r="H19" s="6">
        <v>-11139000000</v>
      </c>
    </row>
    <row r="20" spans="1:8">
      <c r="A20" s="6">
        <v>2013</v>
      </c>
      <c r="B20" s="46">
        <v>3.4</v>
      </c>
      <c r="C20" s="47">
        <v>377411000000</v>
      </c>
      <c r="D20" s="6">
        <v>54157000000</v>
      </c>
      <c r="E20" s="51">
        <v>85674500000</v>
      </c>
      <c r="F20" s="51">
        <v>3703100000</v>
      </c>
      <c r="G20" s="6">
        <v>46748000000</v>
      </c>
      <c r="H20" s="6">
        <v>-7404600000</v>
      </c>
    </row>
    <row r="21" spans="1:8">
      <c r="A21" s="6">
        <v>2014</v>
      </c>
      <c r="B21" s="46">
        <v>3.8</v>
      </c>
      <c r="C21" s="47">
        <v>400351000000</v>
      </c>
      <c r="D21" s="6">
        <v>57429000000</v>
      </c>
      <c r="E21" s="51">
        <v>88141500000</v>
      </c>
      <c r="F21" s="51">
        <v>7329000000</v>
      </c>
      <c r="G21" s="6">
        <v>50928000000</v>
      </c>
      <c r="H21" s="6">
        <v>-13257200000</v>
      </c>
    </row>
    <row r="22" spans="1:8">
      <c r="A22" s="6">
        <v>2015</v>
      </c>
      <c r="B22" s="46">
        <v>3.7</v>
      </c>
      <c r="C22" s="47">
        <v>420936000000</v>
      </c>
      <c r="D22" s="6">
        <v>59730000000</v>
      </c>
      <c r="E22" s="51">
        <v>45283318999.999992</v>
      </c>
      <c r="F22" s="51">
        <v>2100900000</v>
      </c>
      <c r="G22" s="6">
        <v>55730000000</v>
      </c>
      <c r="H22" s="6">
        <v>-14820100000</v>
      </c>
    </row>
    <row r="23" spans="1:8">
      <c r="A23" s="6">
        <v>2016</v>
      </c>
      <c r="B23" s="46">
        <v>3.9</v>
      </c>
      <c r="C23" s="47">
        <v>447620000000</v>
      </c>
      <c r="D23" s="6">
        <v>66618000000</v>
      </c>
      <c r="E23" s="51">
        <v>96638900000</v>
      </c>
      <c r="F23" s="51">
        <v>3508300000</v>
      </c>
      <c r="G23" s="6">
        <v>62337000000</v>
      </c>
      <c r="H23" s="6">
        <v>-14918100000</v>
      </c>
    </row>
    <row r="24" spans="1:8">
      <c r="A24" s="6">
        <v>2017</v>
      </c>
      <c r="B24" s="46">
        <v>3.9</v>
      </c>
      <c r="C24" s="47">
        <v>472861000000</v>
      </c>
      <c r="D24" s="6">
        <v>68332000000</v>
      </c>
      <c r="E24" s="51">
        <v>105930769834.99998</v>
      </c>
      <c r="F24" s="51">
        <v>2092699999.9999998</v>
      </c>
      <c r="G24" s="6">
        <v>64013000000</v>
      </c>
      <c r="H24" s="6">
        <v>-15635800000</v>
      </c>
    </row>
    <row r="25" spans="1:8">
      <c r="A25" s="6">
        <v>2018</v>
      </c>
      <c r="B25" s="46">
        <v>4</v>
      </c>
      <c r="C25" s="47">
        <v>500047000000</v>
      </c>
      <c r="D25" s="6">
        <v>72819000000</v>
      </c>
      <c r="E25" s="51">
        <v>112445888024.00002</v>
      </c>
      <c r="F25" s="51">
        <v>2037200000</v>
      </c>
      <c r="G25" s="6">
        <v>64897000000</v>
      </c>
      <c r="H25" s="6">
        <v>-14609200000</v>
      </c>
    </row>
    <row r="26" spans="1:8">
      <c r="A26" s="6">
        <v>2019</v>
      </c>
      <c r="B26" s="46">
        <v>2.9</v>
      </c>
      <c r="C26" s="47">
        <v>512108000000</v>
      </c>
      <c r="D26" s="6">
        <v>75534000000</v>
      </c>
      <c r="E26" s="51">
        <v>117423426635.60001</v>
      </c>
      <c r="F26" s="51">
        <v>1891100000</v>
      </c>
      <c r="G26" s="6">
        <v>60828000000</v>
      </c>
      <c r="H26" s="6">
        <v>-15590200000</v>
      </c>
    </row>
    <row r="27" spans="1:8">
      <c r="A27" s="6">
        <v>2020</v>
      </c>
      <c r="B27" s="46">
        <v>-14.5</v>
      </c>
      <c r="C27" s="47">
        <v>448874000000</v>
      </c>
      <c r="D27" s="6">
        <v>78860000000</v>
      </c>
      <c r="E27" s="51">
        <v>114185920945.36</v>
      </c>
      <c r="F27" s="51">
        <v>-26471100000</v>
      </c>
      <c r="G27" s="6">
        <v>43970000000</v>
      </c>
      <c r="H27" s="6">
        <v>-54394300000</v>
      </c>
    </row>
    <row r="28" spans="1:8">
      <c r="A28" s="6">
        <v>2021</v>
      </c>
      <c r="B28" s="46">
        <v>3.4</v>
      </c>
      <c r="C28" s="47">
        <v>478807000000</v>
      </c>
      <c r="D28" s="6">
        <v>82509000000</v>
      </c>
      <c r="E28" s="51">
        <v>105783945999.99998</v>
      </c>
      <c r="F28" s="51">
        <v>-50470900000</v>
      </c>
      <c r="G28" s="6">
        <v>46279000000</v>
      </c>
      <c r="H28" s="6">
        <v>-85821700000</v>
      </c>
    </row>
    <row r="29" spans="1:8">
      <c r="A29" s="19"/>
      <c r="B29" s="15"/>
      <c r="C29" s="15"/>
      <c r="D29" s="17"/>
      <c r="E29" s="20"/>
      <c r="F29" s="20"/>
      <c r="G29" s="15"/>
      <c r="H29" s="19"/>
    </row>
    <row r="30" spans="1:8">
      <c r="A30" s="19"/>
      <c r="B30" s="19"/>
      <c r="C30" s="19"/>
      <c r="D30" s="19"/>
      <c r="E30" s="19"/>
      <c r="F30" s="19"/>
      <c r="G30" s="19"/>
      <c r="H30" s="19"/>
    </row>
    <row r="31" spans="1:8">
      <c r="A31" s="19"/>
      <c r="B31" s="19"/>
      <c r="C31" s="19"/>
      <c r="D31" s="19"/>
      <c r="E31" s="19"/>
      <c r="F31" s="19"/>
      <c r="G31" s="19"/>
      <c r="H31" s="19"/>
    </row>
    <row r="32" spans="1:8">
      <c r="A32" s="19"/>
      <c r="B32" s="19"/>
      <c r="C32" s="19"/>
      <c r="D32" s="19"/>
      <c r="E32" s="19"/>
      <c r="F32" s="19"/>
      <c r="G32" s="19"/>
      <c r="H32" s="19"/>
    </row>
    <row r="33" spans="1:8">
      <c r="A33" s="19"/>
      <c r="B33" s="19"/>
      <c r="C33" s="19"/>
      <c r="D33" s="19"/>
      <c r="E33" s="19"/>
      <c r="F33" s="19"/>
      <c r="G33" s="19"/>
      <c r="H33" s="19"/>
    </row>
    <row r="34" spans="1:8">
      <c r="A34" s="19"/>
      <c r="B34" s="19"/>
      <c r="C34" s="19"/>
      <c r="D34" s="19"/>
      <c r="E34" s="19"/>
      <c r="F34" s="19"/>
      <c r="G34" s="19"/>
      <c r="H34" s="19"/>
    </row>
    <row r="35" spans="1:8">
      <c r="A35" s="19"/>
      <c r="B35" s="19"/>
      <c r="C35" s="19"/>
      <c r="D35" s="19"/>
      <c r="E35" s="19"/>
      <c r="F35" s="19"/>
      <c r="G35" s="19"/>
      <c r="H35" s="19"/>
    </row>
    <row r="36" spans="1:8">
      <c r="A36" s="19"/>
      <c r="B36" s="19"/>
      <c r="C36" s="19"/>
      <c r="D36" s="19"/>
      <c r="E36" s="19"/>
      <c r="F36" s="19"/>
      <c r="G36" s="19"/>
      <c r="H36" s="19"/>
    </row>
    <row r="37" spans="1:8">
      <c r="A37" s="19"/>
      <c r="B37" s="19"/>
      <c r="C37" s="19"/>
      <c r="D37" s="19"/>
      <c r="E37" s="19"/>
      <c r="F37" s="19"/>
      <c r="G37" s="19"/>
      <c r="H37" s="19"/>
    </row>
    <row r="38" spans="1:8">
      <c r="A38" s="19"/>
      <c r="B38" s="19"/>
      <c r="C38" s="19"/>
      <c r="D38" s="19"/>
      <c r="E38" s="19"/>
      <c r="F38" s="19"/>
      <c r="G38" s="19"/>
      <c r="H38" s="19"/>
    </row>
    <row r="39" spans="1:8">
      <c r="A39" s="19"/>
      <c r="B39" s="19"/>
      <c r="C39" s="19"/>
      <c r="D39" s="19"/>
      <c r="E39" s="19"/>
      <c r="F39" s="19"/>
      <c r="G39" s="19"/>
      <c r="H39" s="19"/>
    </row>
    <row r="40" spans="1:8">
      <c r="A40" s="19"/>
      <c r="B40" s="19"/>
      <c r="C40" s="19"/>
      <c r="D40" s="19"/>
      <c r="E40" s="19"/>
      <c r="F40" s="19"/>
      <c r="G40" s="19"/>
      <c r="H40" s="19"/>
    </row>
    <row r="41" spans="1:8">
      <c r="A41" s="19"/>
      <c r="B41" s="19"/>
      <c r="C41" s="19"/>
      <c r="D41" s="19"/>
      <c r="E41" s="19"/>
      <c r="F41" s="19"/>
      <c r="G41" s="19"/>
      <c r="H41" s="19"/>
    </row>
    <row r="42" spans="1:8">
      <c r="A42" s="19"/>
      <c r="B42" s="19"/>
      <c r="C42" s="19"/>
      <c r="D42" s="19"/>
      <c r="E42" s="19"/>
      <c r="F42" s="19"/>
      <c r="G42" s="19"/>
      <c r="H42" s="19"/>
    </row>
    <row r="43" spans="1:8">
      <c r="A43" s="19"/>
      <c r="B43" s="19"/>
      <c r="C43" s="19"/>
      <c r="D43" s="19"/>
      <c r="E43" s="19"/>
      <c r="F43" s="19"/>
      <c r="G43" s="19"/>
      <c r="H43" s="19"/>
    </row>
    <row r="44" spans="1:8">
      <c r="A44" s="19"/>
      <c r="B44" s="19"/>
      <c r="C44" s="19"/>
      <c r="D44" s="19"/>
      <c r="E44" s="19"/>
      <c r="F44" s="19"/>
      <c r="G44" s="19"/>
      <c r="H44" s="19"/>
    </row>
    <row r="45" spans="1:8">
      <c r="A45" s="19"/>
      <c r="B45" s="19"/>
      <c r="C45" s="19"/>
      <c r="D45" s="19"/>
      <c r="E45" s="19"/>
      <c r="F45" s="19"/>
      <c r="G45" s="19"/>
      <c r="H45" s="19"/>
    </row>
    <row r="48" spans="1:8">
      <c r="G48" s="1"/>
    </row>
    <row r="49" spans="7:7">
      <c r="G49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Broadmoney</vt:lpstr>
      <vt:lpstr>international indices</vt:lpstr>
      <vt:lpstr>Labour productivity</vt:lpstr>
      <vt:lpstr>Sectoral</vt:lpstr>
      <vt:lpstr>Sectoral breakdown</vt:lpstr>
      <vt:lpstr>Tax Data</vt:lpstr>
      <vt:lpstr>trade</vt:lpstr>
      <vt:lpstr>Price levels</vt:lpstr>
      <vt:lpstr>public 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Zaynah Dhuny</dc:creator>
  <cp:lastModifiedBy>Padmapriya V</cp:lastModifiedBy>
  <dcterms:created xsi:type="dcterms:W3CDTF">2025-01-06T12:44:53Z</dcterms:created>
  <dcterms:modified xsi:type="dcterms:W3CDTF">2025-06-16T15:39:47Z</dcterms:modified>
</cp:coreProperties>
</file>